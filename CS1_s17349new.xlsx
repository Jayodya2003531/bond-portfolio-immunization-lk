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CS1_s17349\"/>
    </mc:Choice>
  </mc:AlternateContent>
  <xr:revisionPtr revIDLastSave="0" documentId="8_{B28CC157-13C3-4D0F-B399-2D8F6E7F1DEA}" xr6:coauthVersionLast="47" xr6:coauthVersionMax="47" xr10:uidLastSave="{00000000-0000-0000-0000-000000000000}"/>
  <bookViews>
    <workbookView xWindow="-108" yWindow="-108" windowWidth="23256" windowHeight="12456" activeTab="4" xr2:uid="{FCFD5866-DD45-4F9D-ADEE-7E3C2FB4B117}"/>
  </bookViews>
  <sheets>
    <sheet name="Yieldcurve" sheetId="3" r:id="rId1"/>
    <sheet name="liability" sheetId="1" r:id="rId2"/>
    <sheet name="Convexity" sheetId="4" r:id="rId3"/>
    <sheet name="Dur and Con" sheetId="9" r:id="rId4"/>
    <sheet name="Market shift" sheetId="5" r:id="rId5"/>
    <sheet name="Sensitive analysis" sheetId="7" r:id="rId6"/>
    <sheet name="rebalance" sheetId="8" r:id="rId7"/>
  </sheets>
  <definedNames>
    <definedName name="solver_adj" localSheetId="1" hidden="1">liability!$I$23:$I$79</definedName>
    <definedName name="solver_adj" localSheetId="6" hidden="1">rebalance!$H$23:$H$73</definedName>
    <definedName name="solver_cvg" localSheetId="1" hidden="1">0.0001</definedName>
    <definedName name="solver_cvg" localSheetId="6" hidden="1">0.0001</definedName>
    <definedName name="solver_drv" localSheetId="1" hidden="1">1</definedName>
    <definedName name="solver_drv" localSheetId="6" hidden="1">1</definedName>
    <definedName name="solver_eng" localSheetId="1" hidden="1">1</definedName>
    <definedName name="solver_eng" localSheetId="6" hidden="1">1</definedName>
    <definedName name="solver_est" localSheetId="1" hidden="1">1</definedName>
    <definedName name="solver_est" localSheetId="6" hidden="1">1</definedName>
    <definedName name="solver_itr" localSheetId="1" hidden="1">2147483647</definedName>
    <definedName name="solver_itr" localSheetId="6" hidden="1">2147483647</definedName>
    <definedName name="solver_lhs1" localSheetId="1" hidden="1">liability!$E$80</definedName>
    <definedName name="solver_lhs1" localSheetId="6" hidden="1">rebalance!$H$23:$H$73</definedName>
    <definedName name="solver_lhs2" localSheetId="1" hidden="1">liability!$I$80</definedName>
    <definedName name="solver_lhs2" localSheetId="6" hidden="1">rebalance!$H$74</definedName>
    <definedName name="solver_mip" localSheetId="1" hidden="1">2147483647</definedName>
    <definedName name="solver_mip" localSheetId="6" hidden="1">2147483647</definedName>
    <definedName name="solver_mni" localSheetId="1" hidden="1">30</definedName>
    <definedName name="solver_mni" localSheetId="6" hidden="1">30</definedName>
    <definedName name="solver_mrt" localSheetId="1" hidden="1">0.075</definedName>
    <definedName name="solver_mrt" localSheetId="6" hidden="1">0.075</definedName>
    <definedName name="solver_msl" localSheetId="1" hidden="1">2</definedName>
    <definedName name="solver_msl" localSheetId="6" hidden="1">2</definedName>
    <definedName name="solver_neg" localSheetId="1" hidden="1">1</definedName>
    <definedName name="solver_neg" localSheetId="6" hidden="1">2</definedName>
    <definedName name="solver_nod" localSheetId="1" hidden="1">2147483647</definedName>
    <definedName name="solver_nod" localSheetId="6" hidden="1">2147483647</definedName>
    <definedName name="solver_num" localSheetId="1" hidden="1">2</definedName>
    <definedName name="solver_num" localSheetId="6" hidden="1">2</definedName>
    <definedName name="solver_nwt" localSheetId="1" hidden="1">1</definedName>
    <definedName name="solver_nwt" localSheetId="6" hidden="1">1</definedName>
    <definedName name="solver_opt" localSheetId="1" hidden="1">liability!$J$80</definedName>
    <definedName name="solver_opt" localSheetId="6" hidden="1">rebalance!$J$74</definedName>
    <definedName name="solver_pre" localSheetId="1" hidden="1">0.000001</definedName>
    <definedName name="solver_pre" localSheetId="6" hidden="1">0.000001</definedName>
    <definedName name="solver_rbv" localSheetId="1" hidden="1">1</definedName>
    <definedName name="solver_rbv" localSheetId="6" hidden="1">1</definedName>
    <definedName name="solver_rel1" localSheetId="1" hidden="1">2</definedName>
    <definedName name="solver_rel1" localSheetId="6" hidden="1">3</definedName>
    <definedName name="solver_rel2" localSheetId="1" hidden="1">2</definedName>
    <definedName name="solver_rel2" localSheetId="6" hidden="1">2</definedName>
    <definedName name="solver_rhs1" localSheetId="1" hidden="1">liability!$H$14</definedName>
    <definedName name="solver_rhs1" localSheetId="6" hidden="1">0</definedName>
    <definedName name="solver_rhs2" localSheetId="1" hidden="1">100%</definedName>
    <definedName name="solver_rhs2" localSheetId="6" hidden="1">100%</definedName>
    <definedName name="solver_rlx" localSheetId="1" hidden="1">2</definedName>
    <definedName name="solver_rlx" localSheetId="6" hidden="1">2</definedName>
    <definedName name="solver_rsd" localSheetId="1" hidden="1">0</definedName>
    <definedName name="solver_rsd" localSheetId="6" hidden="1">0</definedName>
    <definedName name="solver_scl" localSheetId="1" hidden="1">1</definedName>
    <definedName name="solver_scl" localSheetId="6" hidden="1">1</definedName>
    <definedName name="solver_sho" localSheetId="1" hidden="1">2</definedName>
    <definedName name="solver_sho" localSheetId="6" hidden="1">2</definedName>
    <definedName name="solver_ssz" localSheetId="1" hidden="1">100</definedName>
    <definedName name="solver_ssz" localSheetId="6" hidden="1">100</definedName>
    <definedName name="solver_tim" localSheetId="1" hidden="1">2147483647</definedName>
    <definedName name="solver_tim" localSheetId="6" hidden="1">2147483647</definedName>
    <definedName name="solver_tol" localSheetId="1" hidden="1">0.01</definedName>
    <definedName name="solver_tol" localSheetId="6" hidden="1">0.01</definedName>
    <definedName name="solver_typ" localSheetId="1" hidden="1">3</definedName>
    <definedName name="solver_typ" localSheetId="6" hidden="1">3</definedName>
    <definedName name="solver_val" localSheetId="1" hidden="1">5.882884</definedName>
    <definedName name="solver_val" localSheetId="6" hidden="1">6.848239</definedName>
    <definedName name="solver_ver" localSheetId="1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6" i="5" l="1"/>
  <c r="K75" i="4"/>
  <c r="N5" i="4"/>
  <c r="I75" i="4"/>
  <c r="I13" i="4"/>
  <c r="H16" i="8"/>
  <c r="I74" i="8"/>
  <c r="G20" i="5"/>
  <c r="G21" i="5"/>
  <c r="G19" i="5"/>
  <c r="H19" i="5" s="1"/>
  <c r="I19" i="4"/>
  <c r="I20" i="4"/>
  <c r="H19" i="4"/>
  <c r="H20" i="4"/>
  <c r="H18" i="4"/>
  <c r="G18" i="4"/>
  <c r="I18" i="4" s="1"/>
  <c r="G19" i="4"/>
  <c r="G20" i="4"/>
  <c r="H24" i="1"/>
  <c r="H25" i="1"/>
  <c r="H23" i="1"/>
  <c r="I80" i="1"/>
  <c r="F76" i="5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J24" i="1"/>
  <c r="J25" i="1"/>
  <c r="J23" i="1"/>
  <c r="L24" i="1"/>
  <c r="L25" i="1"/>
  <c r="L23" i="1"/>
  <c r="J16" i="8"/>
  <c r="J7" i="8"/>
  <c r="J8" i="8"/>
  <c r="J9" i="8"/>
  <c r="J10" i="8"/>
  <c r="J11" i="8"/>
  <c r="J12" i="8"/>
  <c r="J13" i="8"/>
  <c r="J14" i="8"/>
  <c r="J15" i="8"/>
  <c r="J6" i="8"/>
  <c r="J74" i="8"/>
  <c r="H21" i="8"/>
  <c r="H22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20" i="8"/>
  <c r="H7" i="8"/>
  <c r="H8" i="8"/>
  <c r="H9" i="8"/>
  <c r="H10" i="8"/>
  <c r="H11" i="8"/>
  <c r="H12" i="8"/>
  <c r="H13" i="8"/>
  <c r="H14" i="8"/>
  <c r="H15" i="8"/>
  <c r="H6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F7" i="8"/>
  <c r="F8" i="8"/>
  <c r="I8" i="8" s="1"/>
  <c r="F9" i="8"/>
  <c r="F10" i="8"/>
  <c r="I10" i="8" s="1"/>
  <c r="F11" i="8"/>
  <c r="I11" i="8" s="1"/>
  <c r="F12" i="8"/>
  <c r="I12" i="8" s="1"/>
  <c r="F13" i="8"/>
  <c r="I13" i="8" s="1"/>
  <c r="F14" i="8"/>
  <c r="I14" i="8" s="1"/>
  <c r="F15" i="8"/>
  <c r="I15" i="8" s="1"/>
  <c r="F6" i="8"/>
  <c r="I7" i="8"/>
  <c r="I16" i="8" s="1"/>
  <c r="G7" i="8" s="1"/>
  <c r="I9" i="8"/>
  <c r="I6" i="8"/>
  <c r="G21" i="8"/>
  <c r="G22" i="8"/>
  <c r="G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20" i="8"/>
  <c r="D7" i="8"/>
  <c r="D8" i="8"/>
  <c r="D9" i="8"/>
  <c r="D10" i="8"/>
  <c r="D11" i="8"/>
  <c r="D12" i="8"/>
  <c r="D13" i="8"/>
  <c r="D14" i="8"/>
  <c r="D15" i="8"/>
  <c r="D6" i="8"/>
  <c r="G23" i="5"/>
  <c r="H23" i="5" s="1"/>
  <c r="G24" i="5"/>
  <c r="G25" i="5"/>
  <c r="H25" i="5" s="1"/>
  <c r="G26" i="5"/>
  <c r="H26" i="5" s="1"/>
  <c r="G27" i="5"/>
  <c r="H27" i="5" s="1"/>
  <c r="G28" i="5"/>
  <c r="H28" i="5" s="1"/>
  <c r="G29" i="5"/>
  <c r="G30" i="5"/>
  <c r="G31" i="5"/>
  <c r="H31" i="5" s="1"/>
  <c r="G32" i="5"/>
  <c r="G33" i="5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G42" i="5"/>
  <c r="G43" i="5"/>
  <c r="H43" i="5" s="1"/>
  <c r="G44" i="5"/>
  <c r="G45" i="5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G54" i="5"/>
  <c r="G55" i="5"/>
  <c r="H55" i="5" s="1"/>
  <c r="G56" i="5"/>
  <c r="G57" i="5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G66" i="5"/>
  <c r="G67" i="5"/>
  <c r="H67" i="5" s="1"/>
  <c r="G68" i="5"/>
  <c r="G69" i="5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22" i="5"/>
  <c r="G6" i="5"/>
  <c r="G7" i="5"/>
  <c r="G8" i="5"/>
  <c r="G9" i="5"/>
  <c r="G10" i="5"/>
  <c r="G11" i="5"/>
  <c r="G12" i="5"/>
  <c r="G13" i="5"/>
  <c r="G14" i="5"/>
  <c r="G5" i="5"/>
  <c r="H4" i="4"/>
  <c r="H5" i="4"/>
  <c r="H6" i="4"/>
  <c r="H7" i="4"/>
  <c r="H8" i="4"/>
  <c r="H9" i="4"/>
  <c r="H10" i="4"/>
  <c r="H11" i="4"/>
  <c r="H12" i="4"/>
  <c r="H3" i="4"/>
  <c r="G3" i="4"/>
  <c r="H21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22" i="4"/>
  <c r="F23" i="4"/>
  <c r="F24" i="4"/>
  <c r="F25" i="4"/>
  <c r="F21" i="4"/>
  <c r="G4" i="4"/>
  <c r="G5" i="4"/>
  <c r="G6" i="4"/>
  <c r="G7" i="4"/>
  <c r="G8" i="4"/>
  <c r="G9" i="4"/>
  <c r="G10" i="4"/>
  <c r="I10" i="4" s="1"/>
  <c r="G11" i="4"/>
  <c r="I11" i="4" s="1"/>
  <c r="G12" i="4"/>
  <c r="I12" i="4" s="1"/>
  <c r="F3" i="4"/>
  <c r="F4" i="4"/>
  <c r="F5" i="4"/>
  <c r="F6" i="4"/>
  <c r="F7" i="4"/>
  <c r="F8" i="4"/>
  <c r="F9" i="4"/>
  <c r="F10" i="4"/>
  <c r="F11" i="4"/>
  <c r="F12" i="4"/>
  <c r="J4" i="1"/>
  <c r="G45" i="1"/>
  <c r="J45" i="1" s="1"/>
  <c r="G46" i="1"/>
  <c r="L46" i="1" s="1"/>
  <c r="G47" i="1"/>
  <c r="L47" i="1" s="1"/>
  <c r="G48" i="1"/>
  <c r="L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J55" i="1" s="1"/>
  <c r="G56" i="1"/>
  <c r="L56" i="1" s="1"/>
  <c r="G57" i="1"/>
  <c r="J57" i="1" s="1"/>
  <c r="G58" i="1"/>
  <c r="J58" i="1" s="1"/>
  <c r="G59" i="1"/>
  <c r="L59" i="1" s="1"/>
  <c r="G60" i="1"/>
  <c r="L60" i="1" s="1"/>
  <c r="G61" i="1"/>
  <c r="J61" i="1" s="1"/>
  <c r="G62" i="1"/>
  <c r="J62" i="1" s="1"/>
  <c r="G63" i="1"/>
  <c r="J63" i="1" s="1"/>
  <c r="G64" i="1"/>
  <c r="J64" i="1" s="1"/>
  <c r="G65" i="1"/>
  <c r="H65" i="1" s="1"/>
  <c r="G66" i="1"/>
  <c r="J66" i="1" s="1"/>
  <c r="G67" i="1"/>
  <c r="J67" i="1" s="1"/>
  <c r="G68" i="1"/>
  <c r="L68" i="1" s="1"/>
  <c r="G69" i="1"/>
  <c r="J69" i="1" s="1"/>
  <c r="G70" i="1"/>
  <c r="L70" i="1" s="1"/>
  <c r="G71" i="1"/>
  <c r="L71" i="1" s="1"/>
  <c r="G72" i="1"/>
  <c r="L72" i="1" s="1"/>
  <c r="G73" i="1"/>
  <c r="J73" i="1" s="1"/>
  <c r="G74" i="1"/>
  <c r="J74" i="1" s="1"/>
  <c r="G75" i="1"/>
  <c r="J75" i="1" s="1"/>
  <c r="G76" i="1"/>
  <c r="J76" i="1" s="1"/>
  <c r="G77" i="1"/>
  <c r="J77" i="1" s="1"/>
  <c r="G78" i="1"/>
  <c r="H78" i="1" s="1"/>
  <c r="G79" i="1"/>
  <c r="J79" i="1" s="1"/>
  <c r="G27" i="1"/>
  <c r="J27" i="1" s="1"/>
  <c r="G28" i="1"/>
  <c r="J28" i="1" s="1"/>
  <c r="G29" i="1"/>
  <c r="H29" i="1" s="1"/>
  <c r="G30" i="1"/>
  <c r="H30" i="1" s="1"/>
  <c r="G31" i="1"/>
  <c r="J31" i="1" s="1"/>
  <c r="G32" i="1"/>
  <c r="L32" i="1" s="1"/>
  <c r="G33" i="1"/>
  <c r="L33" i="1" s="1"/>
  <c r="G34" i="1"/>
  <c r="L34" i="1" s="1"/>
  <c r="G35" i="1"/>
  <c r="L35" i="1" s="1"/>
  <c r="G36" i="1"/>
  <c r="L36" i="1" s="1"/>
  <c r="G37" i="1"/>
  <c r="J37" i="1" s="1"/>
  <c r="G38" i="1"/>
  <c r="J38" i="1" s="1"/>
  <c r="G39" i="1"/>
  <c r="J39" i="1" s="1"/>
  <c r="G40" i="1"/>
  <c r="L40" i="1" s="1"/>
  <c r="G41" i="1"/>
  <c r="J41" i="1" s="1"/>
  <c r="G42" i="1"/>
  <c r="H42" i="1" s="1"/>
  <c r="G43" i="1"/>
  <c r="J43" i="1" s="1"/>
  <c r="G44" i="1"/>
  <c r="L44" i="1" s="1"/>
  <c r="G26" i="1"/>
  <c r="L26" i="1" s="1"/>
  <c r="G7" i="3"/>
  <c r="G8" i="3"/>
  <c r="G9" i="3"/>
  <c r="G10" i="3"/>
  <c r="G11" i="3"/>
  <c r="G12" i="3"/>
  <c r="G13" i="3"/>
  <c r="G14" i="3"/>
  <c r="G15" i="3"/>
  <c r="G16" i="3"/>
  <c r="G17" i="3"/>
  <c r="G18" i="3"/>
  <c r="K84" i="3"/>
  <c r="K96" i="3"/>
  <c r="K108" i="3"/>
  <c r="K120" i="3"/>
  <c r="K132" i="3"/>
  <c r="K87" i="3"/>
  <c r="K111" i="3"/>
  <c r="K123" i="3"/>
  <c r="K127" i="3"/>
  <c r="K128" i="3"/>
  <c r="K93" i="3"/>
  <c r="K94" i="3"/>
  <c r="K130" i="3"/>
  <c r="K95" i="3"/>
  <c r="K131" i="3"/>
  <c r="K85" i="3"/>
  <c r="K97" i="3"/>
  <c r="K109" i="3"/>
  <c r="K121" i="3"/>
  <c r="K133" i="3"/>
  <c r="K86" i="3"/>
  <c r="K98" i="3"/>
  <c r="K110" i="3"/>
  <c r="K122" i="3"/>
  <c r="K134" i="3"/>
  <c r="K99" i="3"/>
  <c r="K135" i="3"/>
  <c r="K105" i="3"/>
  <c r="K119" i="3"/>
  <c r="K88" i="3"/>
  <c r="K100" i="3"/>
  <c r="K112" i="3"/>
  <c r="K124" i="3"/>
  <c r="K136" i="3"/>
  <c r="K102" i="3"/>
  <c r="K126" i="3"/>
  <c r="K91" i="3"/>
  <c r="K116" i="3"/>
  <c r="K117" i="3"/>
  <c r="K107" i="3"/>
  <c r="K89" i="3"/>
  <c r="K101" i="3"/>
  <c r="K113" i="3"/>
  <c r="K125" i="3"/>
  <c r="K137" i="3"/>
  <c r="K114" i="3"/>
  <c r="K103" i="3"/>
  <c r="K92" i="3"/>
  <c r="K129" i="3"/>
  <c r="K118" i="3"/>
  <c r="K90" i="3"/>
  <c r="K115" i="3"/>
  <c r="K104" i="3"/>
  <c r="K106" i="3"/>
  <c r="K75" i="3"/>
  <c r="K76" i="3"/>
  <c r="K77" i="3"/>
  <c r="K78" i="3"/>
  <c r="K79" i="3"/>
  <c r="K82" i="3"/>
  <c r="K74" i="3"/>
  <c r="K80" i="3"/>
  <c r="K81" i="3"/>
  <c r="K83" i="3"/>
  <c r="K17" i="3"/>
  <c r="K15" i="3"/>
  <c r="K13" i="3"/>
  <c r="K11" i="3"/>
  <c r="K10" i="3"/>
  <c r="K12" i="3"/>
  <c r="K14" i="3"/>
  <c r="K16" i="3"/>
  <c r="K18" i="3"/>
  <c r="K19" i="3"/>
  <c r="K138" i="3"/>
  <c r="K139" i="3"/>
  <c r="K140" i="3"/>
  <c r="K48" i="3"/>
  <c r="K60" i="3"/>
  <c r="K72" i="3"/>
  <c r="K25" i="3"/>
  <c r="K37" i="3"/>
  <c r="K28" i="3"/>
  <c r="K31" i="3"/>
  <c r="K34" i="3"/>
  <c r="K52" i="3"/>
  <c r="K58" i="3"/>
  <c r="K57" i="3"/>
  <c r="K66" i="3"/>
  <c r="K49" i="3"/>
  <c r="K40" i="3"/>
  <c r="K43" i="3"/>
  <c r="K46" i="3"/>
  <c r="K55" i="3"/>
  <c r="K54" i="3"/>
  <c r="K63" i="3"/>
  <c r="K22" i="3"/>
  <c r="K61" i="3"/>
  <c r="K73" i="3"/>
  <c r="K64" i="3"/>
  <c r="K67" i="3"/>
  <c r="K70" i="3"/>
  <c r="K29" i="3"/>
  <c r="K32" i="3"/>
  <c r="K23" i="3"/>
  <c r="K41" i="3"/>
  <c r="K44" i="3"/>
  <c r="K35" i="3"/>
  <c r="K50" i="3"/>
  <c r="K53" i="3"/>
  <c r="K56" i="3"/>
  <c r="K47" i="3"/>
  <c r="K62" i="3"/>
  <c r="K65" i="3"/>
  <c r="K68" i="3"/>
  <c r="K59" i="3"/>
  <c r="K27" i="3"/>
  <c r="K30" i="3"/>
  <c r="K33" i="3"/>
  <c r="K71" i="3"/>
  <c r="K42" i="3"/>
  <c r="K45" i="3"/>
  <c r="K20" i="3"/>
  <c r="K51" i="3"/>
  <c r="K21" i="3"/>
  <c r="K69" i="3"/>
  <c r="K26" i="3"/>
  <c r="K39" i="3"/>
  <c r="K38" i="3"/>
  <c r="K24" i="3"/>
  <c r="K36" i="3"/>
  <c r="H24" i="5" l="1"/>
  <c r="H21" i="5"/>
  <c r="H57" i="5"/>
  <c r="H20" i="5"/>
  <c r="H56" i="5"/>
  <c r="H66" i="5"/>
  <c r="H54" i="5"/>
  <c r="H42" i="5"/>
  <c r="H30" i="5"/>
  <c r="H29" i="5"/>
  <c r="H69" i="5"/>
  <c r="H33" i="5"/>
  <c r="H68" i="5"/>
  <c r="H32" i="5"/>
  <c r="H65" i="5"/>
  <c r="H41" i="5"/>
  <c r="H22" i="5"/>
  <c r="H45" i="5"/>
  <c r="H44" i="5"/>
  <c r="H53" i="5"/>
  <c r="L58" i="1"/>
  <c r="L69" i="1"/>
  <c r="L57" i="1"/>
  <c r="L45" i="1"/>
  <c r="L79" i="1"/>
  <c r="L67" i="1"/>
  <c r="L55" i="1"/>
  <c r="L43" i="1"/>
  <c r="L31" i="1"/>
  <c r="L78" i="1"/>
  <c r="L66" i="1"/>
  <c r="L54" i="1"/>
  <c r="L42" i="1"/>
  <c r="L30" i="1"/>
  <c r="L77" i="1"/>
  <c r="L65" i="1"/>
  <c r="L53" i="1"/>
  <c r="L41" i="1"/>
  <c r="L29" i="1"/>
  <c r="L76" i="1"/>
  <c r="L64" i="1"/>
  <c r="L52" i="1"/>
  <c r="L28" i="1"/>
  <c r="L75" i="1"/>
  <c r="L63" i="1"/>
  <c r="L51" i="1"/>
  <c r="L39" i="1"/>
  <c r="L27" i="1"/>
  <c r="L80" i="1" s="1"/>
  <c r="L74" i="1"/>
  <c r="L62" i="1"/>
  <c r="L50" i="1"/>
  <c r="L38" i="1"/>
  <c r="L73" i="1"/>
  <c r="L61" i="1"/>
  <c r="L49" i="1"/>
  <c r="L37" i="1"/>
  <c r="I53" i="4"/>
  <c r="I29" i="4"/>
  <c r="I6" i="4"/>
  <c r="I4" i="4"/>
  <c r="I41" i="4"/>
  <c r="I5" i="4"/>
  <c r="I57" i="4"/>
  <c r="I45" i="4"/>
  <c r="I33" i="4"/>
  <c r="I21" i="4"/>
  <c r="I69" i="4"/>
  <c r="I67" i="4"/>
  <c r="I55" i="4"/>
  <c r="I43" i="4"/>
  <c r="I66" i="4"/>
  <c r="I54" i="4"/>
  <c r="I31" i="4"/>
  <c r="I71" i="4"/>
  <c r="I65" i="4"/>
  <c r="I42" i="4"/>
  <c r="I30" i="4"/>
  <c r="J72" i="1"/>
  <c r="J60" i="1"/>
  <c r="J48" i="1"/>
  <c r="J36" i="1"/>
  <c r="J71" i="1"/>
  <c r="J59" i="1"/>
  <c r="J47" i="1"/>
  <c r="J35" i="1"/>
  <c r="J70" i="1"/>
  <c r="J46" i="1"/>
  <c r="J34" i="1"/>
  <c r="J33" i="1"/>
  <c r="J26" i="1"/>
  <c r="J68" i="1"/>
  <c r="J56" i="1"/>
  <c r="J44" i="1"/>
  <c r="J32" i="1"/>
  <c r="J78" i="1"/>
  <c r="J42" i="1"/>
  <c r="J30" i="1"/>
  <c r="J65" i="1"/>
  <c r="J29" i="1"/>
  <c r="J80" i="1" s="1"/>
  <c r="Q5" i="1" s="1"/>
  <c r="J40" i="1"/>
  <c r="G6" i="8"/>
  <c r="G12" i="8"/>
  <c r="G11" i="8"/>
  <c r="G13" i="8"/>
  <c r="G10" i="8"/>
  <c r="G14" i="8"/>
  <c r="G9" i="8"/>
  <c r="G8" i="8"/>
  <c r="G15" i="8"/>
  <c r="G74" i="8"/>
  <c r="F16" i="8"/>
  <c r="G15" i="5"/>
  <c r="M5" i="5" s="1"/>
  <c r="F15" i="5"/>
  <c r="I32" i="4"/>
  <c r="I63" i="4"/>
  <c r="I51" i="4"/>
  <c r="I39" i="4"/>
  <c r="I27" i="4"/>
  <c r="I74" i="4"/>
  <c r="I62" i="4"/>
  <c r="I50" i="4"/>
  <c r="I38" i="4"/>
  <c r="I26" i="4"/>
  <c r="I3" i="4"/>
  <c r="I56" i="4"/>
  <c r="I64" i="4"/>
  <c r="I40" i="4"/>
  <c r="I28" i="4"/>
  <c r="I8" i="4"/>
  <c r="I73" i="4"/>
  <c r="I49" i="4"/>
  <c r="I37" i="4"/>
  <c r="I25" i="4"/>
  <c r="I72" i="4"/>
  <c r="I48" i="4"/>
  <c r="I36" i="4"/>
  <c r="I24" i="4"/>
  <c r="I68" i="4"/>
  <c r="I44" i="4"/>
  <c r="I52" i="4"/>
  <c r="I9" i="4"/>
  <c r="I61" i="4"/>
  <c r="I7" i="4"/>
  <c r="I60" i="4"/>
  <c r="I59" i="4"/>
  <c r="I47" i="4"/>
  <c r="I35" i="4"/>
  <c r="I23" i="4"/>
  <c r="I70" i="4"/>
  <c r="I58" i="4"/>
  <c r="I46" i="4"/>
  <c r="I34" i="4"/>
  <c r="I22" i="4"/>
  <c r="H26" i="1"/>
  <c r="H80" i="1" s="1"/>
  <c r="H44" i="1"/>
  <c r="H31" i="1"/>
  <c r="H32" i="1"/>
  <c r="H43" i="1"/>
  <c r="H36" i="1"/>
  <c r="H35" i="1"/>
  <c r="H34" i="1"/>
  <c r="H33" i="1"/>
  <c r="H70" i="1"/>
  <c r="H58" i="1"/>
  <c r="H46" i="1"/>
  <c r="H69" i="1"/>
  <c r="H57" i="1"/>
  <c r="H45" i="1"/>
  <c r="H68" i="1"/>
  <c r="H72" i="1"/>
  <c r="H60" i="1"/>
  <c r="H48" i="1"/>
  <c r="H71" i="1"/>
  <c r="H59" i="1"/>
  <c r="H47" i="1"/>
  <c r="H77" i="1"/>
  <c r="H41" i="1"/>
  <c r="H76" i="1"/>
  <c r="H64" i="1"/>
  <c r="H52" i="1"/>
  <c r="H40" i="1"/>
  <c r="H28" i="1"/>
  <c r="H53" i="1"/>
  <c r="H75" i="1"/>
  <c r="H63" i="1"/>
  <c r="H51" i="1"/>
  <c r="H39" i="1"/>
  <c r="H27" i="1"/>
  <c r="H79" i="1"/>
  <c r="H67" i="1"/>
  <c r="H55" i="1"/>
  <c r="H66" i="1"/>
  <c r="H54" i="1"/>
  <c r="H74" i="1"/>
  <c r="H62" i="1"/>
  <c r="H50" i="1"/>
  <c r="H38" i="1"/>
  <c r="H56" i="1"/>
  <c r="H73" i="1"/>
  <c r="H61" i="1"/>
  <c r="H49" i="1"/>
  <c r="H37" i="1"/>
  <c r="H76" i="5" l="1"/>
  <c r="J4" i="5"/>
  <c r="N5" i="5" s="1"/>
  <c r="N6" i="4"/>
  <c r="C48" i="8"/>
  <c r="C62" i="8"/>
  <c r="C51" i="8"/>
  <c r="C41" i="8"/>
  <c r="C54" i="8"/>
  <c r="C32" i="8"/>
  <c r="C61" i="8"/>
  <c r="C50" i="8"/>
  <c r="C52" i="8"/>
  <c r="C42" i="8"/>
  <c r="C21" i="8"/>
  <c r="C33" i="8"/>
  <c r="C45" i="8"/>
  <c r="C36" i="8"/>
  <c r="C37" i="8"/>
  <c r="C38" i="8"/>
  <c r="C65" i="8"/>
  <c r="C22" i="8"/>
  <c r="C34" i="8"/>
  <c r="C46" i="8"/>
  <c r="C58" i="8"/>
  <c r="C70" i="8"/>
  <c r="C71" i="8"/>
  <c r="C26" i="8"/>
  <c r="C39" i="8"/>
  <c r="C63" i="8"/>
  <c r="C28" i="8"/>
  <c r="C40" i="8"/>
  <c r="C66" i="8"/>
  <c r="C29" i="8"/>
  <c r="C30" i="8"/>
  <c r="C23" i="8"/>
  <c r="C47" i="8"/>
  <c r="C27" i="8"/>
  <c r="C57" i="8"/>
  <c r="C60" i="8"/>
  <c r="C72" i="8"/>
  <c r="C35" i="8"/>
  <c r="C24" i="8"/>
  <c r="C64" i="8"/>
  <c r="C69" i="8"/>
  <c r="C49" i="8"/>
  <c r="C53" i="8"/>
  <c r="C25" i="8"/>
  <c r="C59" i="8"/>
  <c r="C68" i="8"/>
  <c r="C55" i="8"/>
  <c r="C43" i="8"/>
  <c r="C67" i="8"/>
  <c r="C56" i="8"/>
  <c r="C31" i="8"/>
  <c r="C44" i="8"/>
  <c r="C73" i="8"/>
  <c r="H20" i="8"/>
  <c r="C20" i="8" s="1"/>
  <c r="G16" i="8"/>
  <c r="P5" i="1"/>
  <c r="C74" i="8" l="1"/>
  <c r="H74" i="8"/>
  <c r="G10" i="1" l="1"/>
  <c r="H10" i="1" s="1"/>
  <c r="G5" i="1"/>
  <c r="H5" i="1" s="1"/>
  <c r="G9" i="1"/>
  <c r="H9" i="1" s="1"/>
  <c r="G6" i="1"/>
  <c r="H6" i="1" s="1"/>
  <c r="G11" i="1"/>
  <c r="H11" i="1" s="1"/>
  <c r="G13" i="1"/>
  <c r="H13" i="1" s="1"/>
  <c r="G7" i="1"/>
  <c r="H7" i="1" s="1"/>
  <c r="G8" i="1"/>
  <c r="H8" i="1" s="1"/>
  <c r="G4" i="1"/>
  <c r="H4" i="1" s="1"/>
  <c r="L8" i="1"/>
  <c r="J8" i="1"/>
  <c r="J9" i="1"/>
  <c r="L9" i="1"/>
  <c r="L4" i="1"/>
  <c r="J13" i="1"/>
  <c r="L13" i="1"/>
  <c r="L7" i="1"/>
  <c r="J7" i="1"/>
  <c r="J11" i="1"/>
  <c r="L11" i="1"/>
  <c r="L12" i="1"/>
  <c r="J12" i="1"/>
  <c r="J6" i="1"/>
  <c r="L6" i="1"/>
  <c r="J5" i="1"/>
  <c r="L5" i="1"/>
  <c r="J10" i="1"/>
  <c r="L10" i="1"/>
  <c r="G12" i="1"/>
  <c r="H12" i="1" s="1"/>
  <c r="J14" i="1" l="1"/>
  <c r="Q4" i="1" s="1"/>
  <c r="L14" i="1"/>
  <c r="H14" i="1"/>
  <c r="E26" i="1" l="1"/>
  <c r="E23" i="1"/>
  <c r="E24" i="1"/>
  <c r="E25" i="1"/>
  <c r="I14" i="1"/>
  <c r="E38" i="1"/>
  <c r="E50" i="1"/>
  <c r="E62" i="1"/>
  <c r="E74" i="1"/>
  <c r="E35" i="1"/>
  <c r="E47" i="1"/>
  <c r="E59" i="1"/>
  <c r="E71" i="1"/>
  <c r="E27" i="1"/>
  <c r="E39" i="1"/>
  <c r="E51" i="1"/>
  <c r="E63" i="1"/>
  <c r="E75" i="1"/>
  <c r="E28" i="1"/>
  <c r="E40" i="1"/>
  <c r="E52" i="1"/>
  <c r="E64" i="1"/>
  <c r="E76" i="1"/>
  <c r="E29" i="1"/>
  <c r="E41" i="1"/>
  <c r="E53" i="1"/>
  <c r="E65" i="1"/>
  <c r="E77" i="1"/>
  <c r="E30" i="1"/>
  <c r="E42" i="1"/>
  <c r="E54" i="1"/>
  <c r="E66" i="1"/>
  <c r="E78" i="1"/>
  <c r="E36" i="1"/>
  <c r="E48" i="1"/>
  <c r="E60" i="1"/>
  <c r="E72" i="1"/>
  <c r="E31" i="1"/>
  <c r="E43" i="1"/>
  <c r="E55" i="1"/>
  <c r="E67" i="1"/>
  <c r="E79" i="1"/>
  <c r="E32" i="1"/>
  <c r="E44" i="1"/>
  <c r="E56" i="1"/>
  <c r="E68" i="1"/>
  <c r="E33" i="1"/>
  <c r="E45" i="1"/>
  <c r="E57" i="1"/>
  <c r="E69" i="1"/>
  <c r="E37" i="1"/>
  <c r="E49" i="1"/>
  <c r="E61" i="1"/>
  <c r="E73" i="1"/>
  <c r="E34" i="1"/>
  <c r="E46" i="1"/>
  <c r="E58" i="1"/>
  <c r="E70" i="1"/>
  <c r="E80" i="1" l="1"/>
  <c r="O5" i="1" s="1"/>
</calcChain>
</file>

<file path=xl/sharedStrings.xml><?xml version="1.0" encoding="utf-8"?>
<sst xmlns="http://schemas.openxmlformats.org/spreadsheetml/2006/main" count="586" uniqueCount="198">
  <si>
    <t>12.50%2045A</t>
  </si>
  <si>
    <t>13.50%2044B</t>
  </si>
  <si>
    <t>13.50%2044A</t>
  </si>
  <si>
    <t>09.00%2043A</t>
  </si>
  <si>
    <t>12.00%2041A</t>
  </si>
  <si>
    <t>10.50%2039A</t>
  </si>
  <si>
    <t>10.75%2037A</t>
  </si>
  <si>
    <t>10.85%2036A</t>
  </si>
  <si>
    <t>10.70%2035A</t>
  </si>
  <si>
    <t>11.50%2035A</t>
  </si>
  <si>
    <t>10.25%2034A</t>
  </si>
  <si>
    <t>10.75%2034A</t>
  </si>
  <si>
    <t>13.25%2034A</t>
  </si>
  <si>
    <t>09.00%2033B</t>
  </si>
  <si>
    <t>13.25%2033A</t>
  </si>
  <si>
    <t>09.00%2033A</t>
  </si>
  <si>
    <t>11.20%2033A</t>
  </si>
  <si>
    <t>11.50%2032A</t>
  </si>
  <si>
    <t>09.00%2032A</t>
  </si>
  <si>
    <t>18.00%2032A</t>
  </si>
  <si>
    <t>08.00%2032A</t>
  </si>
  <si>
    <t xml:space="preserve">12.00%2031A </t>
  </si>
  <si>
    <t xml:space="preserve">18.00%2031A </t>
  </si>
  <si>
    <t>11.25%2031A</t>
  </si>
  <si>
    <t>11.00%2030B</t>
  </si>
  <si>
    <t>09.75%2030A</t>
  </si>
  <si>
    <t>11.00%2030A</t>
  </si>
  <si>
    <t>09.50%2030A</t>
  </si>
  <si>
    <t>11.00%2029B</t>
  </si>
  <si>
    <t>10.35%2029A</t>
  </si>
  <si>
    <t>11.00%2029A</t>
  </si>
  <si>
    <t>20.00%2029A</t>
  </si>
  <si>
    <t>11.75%2029A</t>
  </si>
  <si>
    <t>13.00%2029B</t>
  </si>
  <si>
    <t>13.00%2029A</t>
  </si>
  <si>
    <t>11.50%2028B</t>
  </si>
  <si>
    <t>11.00%2028A</t>
  </si>
  <si>
    <t>11.50%2028A</t>
  </si>
  <si>
    <t>09.00%2028A</t>
  </si>
  <si>
    <t>09.00%2028B</t>
  </si>
  <si>
    <t>10.75%2028A</t>
  </si>
  <si>
    <t>10.75%2028B</t>
  </si>
  <si>
    <t>18.00%2028A</t>
  </si>
  <si>
    <t>11.25%2027A</t>
  </si>
  <si>
    <t>10.30%2027A</t>
  </si>
  <si>
    <t>20.00%2027A</t>
  </si>
  <si>
    <t>07.80%2027A</t>
  </si>
  <si>
    <t>11.75%2027A</t>
  </si>
  <si>
    <t>18.00%2027A</t>
  </si>
  <si>
    <t>11.40%2027A</t>
  </si>
  <si>
    <t>11.25%2026A</t>
  </si>
  <si>
    <t>11.50%2026A</t>
  </si>
  <si>
    <t>11.00%2026A</t>
  </si>
  <si>
    <t>22.50%2026A</t>
  </si>
  <si>
    <t>New investment</t>
  </si>
  <si>
    <t>Duration</t>
  </si>
  <si>
    <t>Weights</t>
  </si>
  <si>
    <t>PV</t>
  </si>
  <si>
    <t>Coupon Rate</t>
  </si>
  <si>
    <t>Yiled</t>
  </si>
  <si>
    <t>Face Value</t>
  </si>
  <si>
    <t>Years to maturity</t>
  </si>
  <si>
    <t>Maturity date</t>
  </si>
  <si>
    <t>Bonds(Assets)</t>
  </si>
  <si>
    <t>Sum PV</t>
  </si>
  <si>
    <t>L10</t>
  </si>
  <si>
    <t>L9</t>
  </si>
  <si>
    <t>L8</t>
  </si>
  <si>
    <t>L7</t>
  </si>
  <si>
    <t>L6</t>
  </si>
  <si>
    <t>L5</t>
  </si>
  <si>
    <t>L4</t>
  </si>
  <si>
    <t>L3</t>
  </si>
  <si>
    <t>L2</t>
  </si>
  <si>
    <t>L1</t>
  </si>
  <si>
    <t>Surplus</t>
  </si>
  <si>
    <t>Mduration</t>
  </si>
  <si>
    <t>weight</t>
  </si>
  <si>
    <t>PV of liability</t>
  </si>
  <si>
    <t>Discount Rate</t>
  </si>
  <si>
    <t>Yield</t>
  </si>
  <si>
    <t>Face value($M)</t>
  </si>
  <si>
    <t>years to maturity(t)</t>
  </si>
  <si>
    <t>Liability</t>
  </si>
  <si>
    <t>Settlement date</t>
  </si>
  <si>
    <t>Mathurity</t>
  </si>
  <si>
    <t>Maturity</t>
  </si>
  <si>
    <t>30 Y</t>
  </si>
  <si>
    <t>20 Y</t>
  </si>
  <si>
    <t>15 Y</t>
  </si>
  <si>
    <t>10 Y</t>
  </si>
  <si>
    <t>8 Y</t>
  </si>
  <si>
    <t>6 Y</t>
  </si>
  <si>
    <t>5 Y</t>
  </si>
  <si>
    <t>4 Y</t>
  </si>
  <si>
    <t>3 Y</t>
  </si>
  <si>
    <t>2 Y</t>
  </si>
  <si>
    <t>12M</t>
  </si>
  <si>
    <t>6M</t>
  </si>
  <si>
    <t>3M</t>
  </si>
  <si>
    <t>Secondary Market</t>
  </si>
  <si>
    <t>Primary Market</t>
  </si>
  <si>
    <t>Daily Yields</t>
  </si>
  <si>
    <t>-</t>
  </si>
  <si>
    <t>&lt; 30 Year</t>
  </si>
  <si>
    <t>&lt; 20 Year</t>
  </si>
  <si>
    <t>&lt; 15 Year</t>
  </si>
  <si>
    <t>&lt;10 Year</t>
  </si>
  <si>
    <t>&lt; 8 Year</t>
  </si>
  <si>
    <t>&lt; 6 Year</t>
  </si>
  <si>
    <t>&lt; 5 Year</t>
  </si>
  <si>
    <t>&lt; 4 Year</t>
  </si>
  <si>
    <t>&lt; 3 Year</t>
  </si>
  <si>
    <t>&lt; 2 Year</t>
  </si>
  <si>
    <t>Treasury Bonds</t>
  </si>
  <si>
    <t>cubic yield</t>
  </si>
  <si>
    <t>&lt; 364 Days</t>
  </si>
  <si>
    <t>&lt; 182 Days</t>
  </si>
  <si>
    <t>&lt;  91 Days</t>
  </si>
  <si>
    <t xml:space="preserve">Treasury Bills </t>
  </si>
  <si>
    <t>yrs</t>
  </si>
  <si>
    <t>Offer</t>
  </si>
  <si>
    <t>Bid</t>
  </si>
  <si>
    <t>Main Menu'!$G$6</t>
  </si>
  <si>
    <t>Two Way Quotes for</t>
  </si>
  <si>
    <t>Last Traded Secondary Market Rates       
( Reported by PDs.)</t>
  </si>
  <si>
    <t xml:space="preserve">Last Primary Auctions </t>
  </si>
  <si>
    <t xml:space="preserve"> Weighted Average Yield Rates               ( % Per Annum)</t>
  </si>
  <si>
    <t>TWO WAY QUOTES FOR</t>
  </si>
  <si>
    <t xml:space="preserve">DAILY SUMMARY OF SECONDARY MARKET TRANSACTIONS FOR </t>
  </si>
  <si>
    <t>GOVERNMENT  SECURITIES MARKET</t>
  </si>
  <si>
    <t>SUM PV</t>
  </si>
  <si>
    <t>L Duration</t>
  </si>
  <si>
    <t>SUM FV</t>
  </si>
  <si>
    <t>Face value</t>
  </si>
  <si>
    <t>P0</t>
  </si>
  <si>
    <t>P+</t>
  </si>
  <si>
    <t>P-</t>
  </si>
  <si>
    <t>Convexity</t>
  </si>
  <si>
    <t>Assets</t>
  </si>
  <si>
    <t>Coupon rate</t>
  </si>
  <si>
    <t>22.50%</t>
  </si>
  <si>
    <t>11.00%</t>
  </si>
  <si>
    <t>11.50%</t>
  </si>
  <si>
    <t>11.25%</t>
  </si>
  <si>
    <t>11.40%</t>
  </si>
  <si>
    <t>18.00%</t>
  </si>
  <si>
    <t>11.75%</t>
  </si>
  <si>
    <t>07.80%</t>
  </si>
  <si>
    <t>20.00%</t>
  </si>
  <si>
    <t>10.30%</t>
  </si>
  <si>
    <t>10.75%</t>
  </si>
  <si>
    <t>09.00%</t>
  </si>
  <si>
    <t>13.00%</t>
  </si>
  <si>
    <t>10.35%</t>
  </si>
  <si>
    <t>09.50%</t>
  </si>
  <si>
    <t>09.75%</t>
  </si>
  <si>
    <t>12.00%</t>
  </si>
  <si>
    <t>08.00%</t>
  </si>
  <si>
    <t>11.20%</t>
  </si>
  <si>
    <t>13.25%</t>
  </si>
  <si>
    <t>10.25%</t>
  </si>
  <si>
    <t>10.70%</t>
  </si>
  <si>
    <t>10.85%</t>
  </si>
  <si>
    <t>10.50%</t>
  </si>
  <si>
    <t>13.50%</t>
  </si>
  <si>
    <t>12.50%</t>
  </si>
  <si>
    <t>Market shift</t>
  </si>
  <si>
    <t>New PV after shift</t>
  </si>
  <si>
    <t xml:space="preserve">PV </t>
  </si>
  <si>
    <t>Sensitive analysis</t>
  </si>
  <si>
    <t>Market Shift(bps)</t>
  </si>
  <si>
    <t>Market Shift(%)</t>
  </si>
  <si>
    <t>PV Liabilities</t>
  </si>
  <si>
    <t>After 6 months to the settlement date</t>
  </si>
  <si>
    <t>New settlement date</t>
  </si>
  <si>
    <t>years to maturity</t>
  </si>
  <si>
    <t>Yeild</t>
  </si>
  <si>
    <t>yrs to maturity</t>
  </si>
  <si>
    <t>coupon rate</t>
  </si>
  <si>
    <t>Time</t>
  </si>
  <si>
    <t>Portfolio Duration</t>
  </si>
  <si>
    <t>Liability Duration</t>
  </si>
  <si>
    <t>t = 0</t>
  </si>
  <si>
    <t>t + 6 mo</t>
  </si>
  <si>
    <t>Portfolio convexity</t>
  </si>
  <si>
    <t>Liability convexity</t>
  </si>
  <si>
    <t>Duration matching</t>
  </si>
  <si>
    <t xml:space="preserve"> Price</t>
  </si>
  <si>
    <t>MDuration</t>
  </si>
  <si>
    <t>Asset</t>
  </si>
  <si>
    <t>New PV</t>
  </si>
  <si>
    <t>Bill1</t>
  </si>
  <si>
    <t>Bill2</t>
  </si>
  <si>
    <t>Bill3</t>
  </si>
  <si>
    <t>TBill1</t>
  </si>
  <si>
    <t>TBill2</t>
  </si>
  <si>
    <t>TBill3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</si>
</sst>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&quot;$&quot;#,##0.00"/>
    <numFmt numFmtId="165" formatCode="0.00000"/>
    <numFmt numFmtId="166" formatCode="0.0000"/>
    <numFmt numFmtId="168" formatCode="0.000%"/>
    <numFmt numFmtId="169" formatCode="0.0000%"/>
    <numFmt numFmtId="170" formatCode="0.000000"/>
    <numFmt numFmtId="171" formatCode="_(&quot;$&quot;* #,##0.0000_);_(&quot;$&quot;* \(#,##0.0000\);_(&quot;$&quot;* &quot;-&quot;??_);_(@_)"/>
  </numFmts>
  <fonts count="23" x14ac:knownFonts="1">
    <font>
      <sz val="10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7030A0"/>
      <name val="Arial"/>
      <family val="2"/>
    </font>
    <font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Arial"/>
      <family val="2"/>
    </font>
    <font>
      <b/>
      <sz val="9"/>
      <color theme="5"/>
      <name val="Calibri"/>
      <family val="2"/>
      <scheme val="minor"/>
    </font>
    <font>
      <sz val="10"/>
      <color theme="5"/>
      <name val="Arial"/>
      <family val="2"/>
    </font>
    <font>
      <b/>
      <sz val="9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thin">
        <color indexed="64"/>
      </bottom>
      <diagonal/>
    </border>
    <border>
      <left style="thin">
        <color indexed="64"/>
      </left>
      <right style="hair">
        <color rgb="FF00B0F0"/>
      </right>
      <top style="hair">
        <color rgb="FF00B0F0"/>
      </top>
      <bottom style="thin">
        <color indexed="64"/>
      </bottom>
      <diagonal/>
    </border>
    <border>
      <left/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rgb="FF00B0F0"/>
      </left>
      <right style="hair">
        <color rgb="FF00B0F0"/>
      </right>
      <top style="medium">
        <color indexed="64"/>
      </top>
      <bottom style="hair">
        <color rgb="FF00B0F0"/>
      </bottom>
      <diagonal/>
    </border>
    <border>
      <left/>
      <right style="hair">
        <color rgb="FF00B0F0"/>
      </right>
      <top style="medium">
        <color indexed="64"/>
      </top>
      <bottom style="hair">
        <color rgb="FF00B0F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rgb="FF00B0F0"/>
      </left>
      <right/>
      <top style="medium">
        <color indexed="64"/>
      </top>
      <bottom style="hair">
        <color rgb="FF00B0F0"/>
      </bottom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  <border>
      <left style="hair">
        <color rgb="FF00B0F0"/>
      </left>
      <right/>
      <top style="hair">
        <color rgb="FF00B0F0"/>
      </top>
      <bottom style="thin">
        <color indexed="64"/>
      </bottom>
      <diagonal/>
    </border>
    <border>
      <left style="hair">
        <color rgb="FF00B0F0"/>
      </left>
      <right style="hair">
        <color rgb="FF00B0F0"/>
      </right>
      <top/>
      <bottom style="hair">
        <color rgb="FF00B0F0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79">
    <xf numFmtId="0" fontId="0" fillId="0" borderId="0" xfId="0"/>
    <xf numFmtId="0" fontId="4" fillId="2" borderId="1" xfId="0" applyFont="1" applyFill="1" applyBorder="1" applyAlignment="1" applyProtection="1">
      <alignment horizontal="center"/>
      <protection locked="0"/>
    </xf>
    <xf numFmtId="15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0" xfId="0" applyFont="1"/>
    <xf numFmtId="10" fontId="0" fillId="0" borderId="0" xfId="2" applyNumberFormat="1" applyFont="1"/>
    <xf numFmtId="164" fontId="0" fillId="0" borderId="0" xfId="0" applyNumberFormat="1"/>
    <xf numFmtId="10" fontId="0" fillId="0" borderId="0" xfId="1" applyNumberFormat="1" applyFont="1"/>
    <xf numFmtId="164" fontId="0" fillId="0" borderId="0" xfId="1" applyNumberFormat="1" applyFont="1"/>
    <xf numFmtId="2" fontId="0" fillId="0" borderId="0" xfId="0" applyNumberFormat="1"/>
    <xf numFmtId="14" fontId="0" fillId="0" borderId="0" xfId="0" applyNumberFormat="1"/>
    <xf numFmtId="0" fontId="8" fillId="0" borderId="0" xfId="0" applyFont="1"/>
    <xf numFmtId="0" fontId="8" fillId="3" borderId="0" xfId="0" applyFont="1" applyFill="1"/>
    <xf numFmtId="0" fontId="9" fillId="3" borderId="0" xfId="0" applyFont="1" applyFill="1"/>
    <xf numFmtId="10" fontId="9" fillId="3" borderId="0" xfId="0" applyNumberFormat="1" applyFont="1" applyFill="1"/>
    <xf numFmtId="0" fontId="9" fillId="3" borderId="0" xfId="0" applyFont="1" applyFill="1" applyAlignment="1">
      <alignment horizontal="center"/>
    </xf>
    <xf numFmtId="10" fontId="9" fillId="3" borderId="0" xfId="0" applyNumberFormat="1" applyFont="1" applyFill="1" applyProtection="1">
      <protection locked="0" hidden="1"/>
    </xf>
    <xf numFmtId="10" fontId="9" fillId="3" borderId="0" xfId="2" applyNumberFormat="1" applyFont="1" applyFill="1"/>
    <xf numFmtId="0" fontId="9" fillId="3" borderId="0" xfId="0" applyFont="1" applyFill="1" applyAlignment="1">
      <alignment wrapText="1"/>
    </xf>
    <xf numFmtId="0" fontId="10" fillId="3" borderId="0" xfId="0" applyFont="1" applyFill="1"/>
    <xf numFmtId="10" fontId="8" fillId="0" borderId="0" xfId="2" applyNumberFormat="1" applyFont="1"/>
    <xf numFmtId="10" fontId="8" fillId="3" borderId="0" xfId="2" applyNumberFormat="1" applyFont="1" applyFill="1"/>
    <xf numFmtId="10" fontId="8" fillId="0" borderId="0" xfId="0" applyNumberFormat="1" applyFont="1"/>
    <xf numFmtId="10" fontId="8" fillId="3" borderId="0" xfId="0" applyNumberFormat="1" applyFont="1" applyFill="1"/>
    <xf numFmtId="17" fontId="9" fillId="3" borderId="0" xfId="0" applyNumberFormat="1" applyFont="1" applyFill="1"/>
    <xf numFmtId="15" fontId="9" fillId="3" borderId="0" xfId="0" applyNumberFormat="1" applyFont="1" applyFill="1"/>
    <xf numFmtId="0" fontId="11" fillId="3" borderId="0" xfId="0" applyFont="1" applyFill="1"/>
    <xf numFmtId="17" fontId="8" fillId="0" borderId="0" xfId="0" applyNumberFormat="1" applyFont="1"/>
    <xf numFmtId="17" fontId="8" fillId="3" borderId="0" xfId="0" applyNumberFormat="1" applyFont="1" applyFill="1"/>
    <xf numFmtId="15" fontId="8" fillId="0" borderId="0" xfId="0" applyNumberFormat="1" applyFont="1"/>
    <xf numFmtId="15" fontId="8" fillId="3" borderId="0" xfId="0" applyNumberFormat="1" applyFont="1" applyFill="1"/>
    <xf numFmtId="10" fontId="15" fillId="3" borderId="0" xfId="0" applyNumberFormat="1" applyFont="1" applyFill="1"/>
    <xf numFmtId="10" fontId="13" fillId="3" borderId="9" xfId="0" applyNumberFormat="1" applyFont="1" applyFill="1" applyBorder="1" applyAlignment="1">
      <alignment horizontal="center" vertical="center"/>
    </xf>
    <xf numFmtId="10" fontId="13" fillId="3" borderId="10" xfId="0" applyNumberFormat="1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10" fontId="13" fillId="6" borderId="1" xfId="0" applyNumberFormat="1" applyFont="1" applyFill="1" applyBorder="1" applyAlignment="1">
      <alignment horizontal="center" vertical="center"/>
    </xf>
    <xf numFmtId="10" fontId="13" fillId="6" borderId="11" xfId="0" applyNumberFormat="1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10" fontId="13" fillId="3" borderId="1" xfId="0" applyNumberFormat="1" applyFont="1" applyFill="1" applyBorder="1" applyAlignment="1">
      <alignment horizontal="center" vertical="center"/>
    </xf>
    <xf numFmtId="10" fontId="13" fillId="3" borderId="11" xfId="0" applyNumberFormat="1" applyFont="1" applyFill="1" applyBorder="1" applyAlignment="1">
      <alignment horizontal="center" vertical="center"/>
    </xf>
    <xf numFmtId="10" fontId="13" fillId="5" borderId="1" xfId="0" applyNumberFormat="1" applyFont="1" applyFill="1" applyBorder="1" applyAlignment="1">
      <alignment horizontal="center" vertical="center"/>
    </xf>
    <xf numFmtId="10" fontId="13" fillId="5" borderId="11" xfId="0" applyNumberFormat="1" applyFont="1" applyFill="1" applyBorder="1" applyAlignment="1">
      <alignment horizontal="center" vertical="center"/>
    </xf>
    <xf numFmtId="10" fontId="13" fillId="3" borderId="13" xfId="0" applyNumberFormat="1" applyFont="1" applyFill="1" applyBorder="1" applyAlignment="1">
      <alignment horizontal="center" vertical="center"/>
    </xf>
    <xf numFmtId="10" fontId="13" fillId="3" borderId="14" xfId="0" applyNumberFormat="1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right" vertical="center" wrapText="1"/>
    </xf>
    <xf numFmtId="0" fontId="16" fillId="4" borderId="0" xfId="0" applyFont="1" applyFill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15" fontId="14" fillId="4" borderId="0" xfId="0" applyNumberFormat="1" applyFont="1" applyFill="1" applyAlignment="1">
      <alignment horizontal="center" vertical="center"/>
    </xf>
    <xf numFmtId="15" fontId="17" fillId="4" borderId="0" xfId="0" applyNumberFormat="1" applyFont="1" applyFill="1" applyAlignment="1">
      <alignment horizontal="center" vertical="center"/>
    </xf>
    <xf numFmtId="15" fontId="1" fillId="4" borderId="23" xfId="0" applyNumberFormat="1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10" fontId="13" fillId="3" borderId="25" xfId="0" applyNumberFormat="1" applyFont="1" applyFill="1" applyBorder="1" applyAlignment="1">
      <alignment horizontal="center" vertical="center"/>
    </xf>
    <xf numFmtId="10" fontId="13" fillId="5" borderId="26" xfId="0" applyNumberFormat="1" applyFont="1" applyFill="1" applyBorder="1" applyAlignment="1">
      <alignment horizontal="center" vertical="center"/>
    </xf>
    <xf numFmtId="10" fontId="13" fillId="3" borderId="26" xfId="0" applyNumberFormat="1" applyFont="1" applyFill="1" applyBorder="1" applyAlignment="1">
      <alignment horizontal="center" vertical="center"/>
    </xf>
    <xf numFmtId="10" fontId="13" fillId="6" borderId="26" xfId="0" applyNumberFormat="1" applyFont="1" applyFill="1" applyBorder="1" applyAlignment="1">
      <alignment horizontal="center" vertical="center"/>
    </xf>
    <xf numFmtId="10" fontId="13" fillId="3" borderId="27" xfId="0" applyNumberFormat="1" applyFont="1" applyFill="1" applyBorder="1" applyAlignment="1">
      <alignment horizontal="center" vertical="center"/>
    </xf>
    <xf numFmtId="10" fontId="8" fillId="3" borderId="0" xfId="2" applyNumberFormat="1" applyFont="1" applyFill="1" applyBorder="1"/>
    <xf numFmtId="0" fontId="8" fillId="7" borderId="6" xfId="0" applyFont="1" applyFill="1" applyBorder="1"/>
    <xf numFmtId="0" fontId="6" fillId="7" borderId="6" xfId="0" applyFont="1" applyFill="1" applyBorder="1"/>
    <xf numFmtId="10" fontId="8" fillId="7" borderId="6" xfId="0" applyNumberFormat="1" applyFont="1" applyFill="1" applyBorder="1"/>
    <xf numFmtId="2" fontId="8" fillId="7" borderId="6" xfId="0" applyNumberFormat="1" applyFont="1" applyFill="1" applyBorder="1"/>
    <xf numFmtId="165" fontId="0" fillId="0" borderId="0" xfId="0" applyNumberFormat="1"/>
    <xf numFmtId="166" fontId="0" fillId="0" borderId="0" xfId="0" applyNumberFormat="1"/>
    <xf numFmtId="44" fontId="0" fillId="0" borderId="0" xfId="1" applyFont="1"/>
    <xf numFmtId="44" fontId="0" fillId="0" borderId="0" xfId="0" applyNumberFormat="1"/>
    <xf numFmtId="10" fontId="0" fillId="0" borderId="0" xfId="0" applyNumberFormat="1"/>
    <xf numFmtId="0" fontId="0" fillId="8" borderId="0" xfId="0" applyFill="1"/>
    <xf numFmtId="44" fontId="0" fillId="8" borderId="0" xfId="0" applyNumberFormat="1" applyFill="1"/>
    <xf numFmtId="164" fontId="0" fillId="8" borderId="0" xfId="0" applyNumberFormat="1" applyFill="1"/>
    <xf numFmtId="0" fontId="0" fillId="3" borderId="0" xfId="0" applyFill="1"/>
    <xf numFmtId="0" fontId="0" fillId="10" borderId="0" xfId="0" applyFill="1"/>
    <xf numFmtId="9" fontId="0" fillId="0" borderId="0" xfId="0" applyNumberFormat="1"/>
    <xf numFmtId="10" fontId="0" fillId="8" borderId="0" xfId="0" applyNumberFormat="1" applyFill="1"/>
    <xf numFmtId="10" fontId="4" fillId="2" borderId="0" xfId="0" applyNumberFormat="1" applyFont="1" applyFill="1" applyAlignment="1" applyProtection="1">
      <alignment horizontal="center"/>
      <protection locked="0"/>
    </xf>
    <xf numFmtId="10" fontId="0" fillId="9" borderId="0" xfId="2" applyNumberFormat="1" applyFont="1" applyFill="1"/>
    <xf numFmtId="0" fontId="4" fillId="11" borderId="1" xfId="0" applyFont="1" applyFill="1" applyBorder="1" applyAlignment="1" applyProtection="1">
      <alignment horizontal="center"/>
      <protection locked="0"/>
    </xf>
    <xf numFmtId="15" fontId="4" fillId="11" borderId="1" xfId="0" applyNumberFormat="1" applyFont="1" applyFill="1" applyBorder="1" applyAlignment="1" applyProtection="1">
      <alignment horizontal="center"/>
      <protection locked="0"/>
    </xf>
    <xf numFmtId="44" fontId="0" fillId="11" borderId="0" xfId="1" applyFont="1" applyFill="1"/>
    <xf numFmtId="10" fontId="0" fillId="11" borderId="0" xfId="2" applyNumberFormat="1" applyFont="1" applyFill="1"/>
    <xf numFmtId="164" fontId="0" fillId="11" borderId="0" xfId="1" applyNumberFormat="1" applyFont="1" applyFill="1"/>
    <xf numFmtId="0" fontId="0" fillId="11" borderId="0" xfId="0" applyFill="1"/>
    <xf numFmtId="0" fontId="5" fillId="11" borderId="0" xfId="0" applyFont="1" applyFill="1"/>
    <xf numFmtId="0" fontId="0" fillId="12" borderId="0" xfId="0" applyFill="1"/>
    <xf numFmtId="0" fontId="0" fillId="13" borderId="0" xfId="0" applyFill="1"/>
    <xf numFmtId="0" fontId="5" fillId="8" borderId="0" xfId="0" applyFont="1" applyFill="1"/>
    <xf numFmtId="14" fontId="0" fillId="8" borderId="0" xfId="0" applyNumberFormat="1" applyFill="1"/>
    <xf numFmtId="0" fontId="2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vertical="center" wrapText="1"/>
    </xf>
    <xf numFmtId="0" fontId="0" fillId="15" borderId="0" xfId="0" applyFill="1"/>
    <xf numFmtId="0" fontId="0" fillId="16" borderId="0" xfId="0" applyFill="1"/>
    <xf numFmtId="0" fontId="3" fillId="0" borderId="0" xfId="0" applyFont="1"/>
    <xf numFmtId="0" fontId="3" fillId="11" borderId="0" xfId="0" applyFont="1" applyFill="1"/>
    <xf numFmtId="0" fontId="3" fillId="17" borderId="0" xfId="0" applyFont="1" applyFill="1"/>
    <xf numFmtId="44" fontId="0" fillId="8" borderId="0" xfId="1" applyFont="1" applyFill="1"/>
    <xf numFmtId="0" fontId="0" fillId="17" borderId="0" xfId="0" applyFill="1"/>
    <xf numFmtId="0" fontId="5" fillId="4" borderId="0" xfId="0" applyFont="1" applyFill="1"/>
    <xf numFmtId="14" fontId="5" fillId="0" borderId="0" xfId="0" applyNumberFormat="1" applyFont="1"/>
    <xf numFmtId="10" fontId="3" fillId="0" borderId="0" xfId="2" applyNumberFormat="1" applyFont="1"/>
    <xf numFmtId="168" fontId="5" fillId="0" borderId="0" xfId="2" applyNumberFormat="1" applyFont="1"/>
    <xf numFmtId="169" fontId="5" fillId="0" borderId="0" xfId="2" applyNumberFormat="1" applyFont="1"/>
    <xf numFmtId="170" fontId="0" fillId="8" borderId="0" xfId="0" applyNumberFormat="1" applyFill="1"/>
    <xf numFmtId="171" fontId="0" fillId="0" borderId="0" xfId="1" applyNumberFormat="1" applyFont="1"/>
    <xf numFmtId="0" fontId="4" fillId="3" borderId="1" xfId="0" applyFont="1" applyFill="1" applyBorder="1" applyAlignment="1" applyProtection="1">
      <alignment horizontal="center"/>
      <protection locked="0"/>
    </xf>
    <xf numFmtId="15" fontId="4" fillId="3" borderId="1" xfId="0" applyNumberFormat="1" applyFont="1" applyFill="1" applyBorder="1" applyAlignment="1" applyProtection="1">
      <alignment horizontal="center"/>
      <protection locked="0"/>
    </xf>
    <xf numFmtId="44" fontId="0" fillId="3" borderId="0" xfId="1" applyFont="1" applyFill="1"/>
    <xf numFmtId="10" fontId="0" fillId="3" borderId="0" xfId="2" applyNumberFormat="1" applyFont="1" applyFill="1"/>
    <xf numFmtId="164" fontId="0" fillId="3" borderId="0" xfId="1" applyNumberFormat="1" applyFont="1" applyFill="1"/>
    <xf numFmtId="168" fontId="5" fillId="3" borderId="0" xfId="2" applyNumberFormat="1" applyFont="1" applyFill="1"/>
    <xf numFmtId="0" fontId="5" fillId="3" borderId="0" xfId="0" applyFont="1" applyFill="1"/>
    <xf numFmtId="168" fontId="5" fillId="11" borderId="0" xfId="2" applyNumberFormat="1" applyFont="1" applyFill="1"/>
    <xf numFmtId="0" fontId="0" fillId="18" borderId="0" xfId="0" applyFill="1"/>
    <xf numFmtId="164" fontId="0" fillId="18" borderId="0" xfId="0" applyNumberFormat="1" applyFill="1"/>
    <xf numFmtId="10" fontId="0" fillId="16" borderId="0" xfId="2" applyNumberFormat="1" applyFont="1" applyFill="1"/>
    <xf numFmtId="10" fontId="0" fillId="8" borderId="0" xfId="2" applyNumberFormat="1" applyFont="1" applyFill="1"/>
    <xf numFmtId="2" fontId="0" fillId="16" borderId="0" xfId="0" applyNumberFormat="1" applyFill="1"/>
    <xf numFmtId="0" fontId="5" fillId="16" borderId="0" xfId="0" applyFont="1" applyFill="1"/>
    <xf numFmtId="0" fontId="3" fillId="16" borderId="0" xfId="0" applyFont="1" applyFill="1"/>
    <xf numFmtId="0" fontId="20" fillId="2" borderId="1" xfId="0" applyFont="1" applyFill="1" applyBorder="1" applyAlignment="1" applyProtection="1">
      <alignment horizontal="center"/>
      <protection locked="0"/>
    </xf>
    <xf numFmtId="15" fontId="20" fillId="2" borderId="1" xfId="0" applyNumberFormat="1" applyFont="1" applyFill="1" applyBorder="1" applyAlignment="1" applyProtection="1">
      <alignment horizontal="center"/>
      <protection locked="0"/>
    </xf>
    <xf numFmtId="44" fontId="21" fillId="0" borderId="0" xfId="0" applyNumberFormat="1" applyFont="1"/>
    <xf numFmtId="0" fontId="21" fillId="0" borderId="0" xfId="0" applyFont="1"/>
    <xf numFmtId="166" fontId="21" fillId="0" borderId="0" xfId="0" applyNumberFormat="1" applyFont="1"/>
    <xf numFmtId="10" fontId="21" fillId="0" borderId="0" xfId="2" applyNumberFormat="1" applyFont="1"/>
    <xf numFmtId="44" fontId="21" fillId="0" borderId="0" xfId="1" applyFont="1"/>
    <xf numFmtId="164" fontId="5" fillId="16" borderId="0" xfId="0" applyNumberFormat="1" applyFont="1" applyFill="1"/>
    <xf numFmtId="0" fontId="4" fillId="2" borderId="28" xfId="0" applyFont="1" applyFill="1" applyBorder="1" applyAlignment="1" applyProtection="1">
      <alignment horizontal="center"/>
      <protection locked="0"/>
    </xf>
    <xf numFmtId="15" fontId="4" fillId="2" borderId="28" xfId="0" applyNumberFormat="1" applyFont="1" applyFill="1" applyBorder="1" applyAlignment="1" applyProtection="1">
      <alignment horizontal="center"/>
      <protection locked="0"/>
    </xf>
    <xf numFmtId="0" fontId="3" fillId="5" borderId="6" xfId="0" applyFont="1" applyFill="1" applyBorder="1"/>
    <xf numFmtId="14" fontId="5" fillId="5" borderId="6" xfId="0" applyNumberFormat="1" applyFont="1" applyFill="1" applyBorder="1"/>
    <xf numFmtId="0" fontId="5" fillId="5" borderId="6" xfId="0" applyFont="1" applyFill="1" applyBorder="1"/>
    <xf numFmtId="44" fontId="0" fillId="5" borderId="6" xfId="1" applyFont="1" applyFill="1" applyBorder="1"/>
    <xf numFmtId="10" fontId="0" fillId="5" borderId="6" xfId="2" applyNumberFormat="1" applyFont="1" applyFill="1" applyBorder="1"/>
    <xf numFmtId="10" fontId="3" fillId="5" borderId="6" xfId="2" applyNumberFormat="1" applyFont="1" applyFill="1" applyBorder="1"/>
    <xf numFmtId="164" fontId="5" fillId="5" borderId="6" xfId="0" applyNumberFormat="1" applyFont="1" applyFill="1" applyBorder="1"/>
    <xf numFmtId="168" fontId="5" fillId="5" borderId="6" xfId="2" applyNumberFormat="1" applyFont="1" applyFill="1" applyBorder="1"/>
    <xf numFmtId="0" fontId="0" fillId="5" borderId="6" xfId="0" applyFill="1" applyBorder="1"/>
    <xf numFmtId="10" fontId="5" fillId="5" borderId="6" xfId="2" applyNumberFormat="1" applyFont="1" applyFill="1" applyBorder="1"/>
    <xf numFmtId="164" fontId="0" fillId="16" borderId="0" xfId="0" applyNumberFormat="1" applyFill="1"/>
    <xf numFmtId="0" fontId="0" fillId="16" borderId="6" xfId="0" applyFill="1" applyBorder="1"/>
    <xf numFmtId="0" fontId="5" fillId="16" borderId="6" xfId="0" applyFont="1" applyFill="1" applyBorder="1"/>
    <xf numFmtId="0" fontId="6" fillId="19" borderId="6" xfId="0" applyFont="1" applyFill="1" applyBorder="1"/>
    <xf numFmtId="10" fontId="6" fillId="19" borderId="6" xfId="2" applyNumberFormat="1" applyFont="1" applyFill="1" applyBorder="1"/>
    <xf numFmtId="2" fontId="6" fillId="19" borderId="6" xfId="0" applyNumberFormat="1" applyFont="1" applyFill="1" applyBorder="1"/>
    <xf numFmtId="0" fontId="22" fillId="19" borderId="6" xfId="0" applyFont="1" applyFill="1" applyBorder="1" applyAlignment="1" applyProtection="1">
      <alignment horizontal="center"/>
      <protection locked="0"/>
    </xf>
    <xf numFmtId="166" fontId="6" fillId="19" borderId="6" xfId="0" applyNumberFormat="1" applyFont="1" applyFill="1" applyBorder="1"/>
    <xf numFmtId="168" fontId="0" fillId="0" borderId="0" xfId="2" applyNumberFormat="1" applyFont="1"/>
    <xf numFmtId="10" fontId="3" fillId="16" borderId="0" xfId="2" applyNumberFormat="1" applyFont="1" applyFill="1"/>
    <xf numFmtId="0" fontId="4" fillId="20" borderId="1" xfId="0" applyFont="1" applyFill="1" applyBorder="1" applyAlignment="1" applyProtection="1">
      <alignment horizontal="center"/>
      <protection locked="0"/>
    </xf>
    <xf numFmtId="15" fontId="4" fillId="20" borderId="1" xfId="0" applyNumberFormat="1" applyFont="1" applyFill="1" applyBorder="1" applyAlignment="1" applyProtection="1">
      <alignment horizontal="center"/>
      <protection locked="0"/>
    </xf>
    <xf numFmtId="0" fontId="0" fillId="20" borderId="0" xfId="0" applyFill="1"/>
    <xf numFmtId="10" fontId="0" fillId="20" borderId="0" xfId="2" applyNumberFormat="1" applyFont="1" applyFill="1"/>
    <xf numFmtId="44" fontId="0" fillId="20" borderId="0" xfId="1" applyFont="1" applyFill="1"/>
    <xf numFmtId="164" fontId="0" fillId="20" borderId="0" xfId="1" applyNumberFormat="1" applyFont="1" applyFill="1"/>
    <xf numFmtId="168" fontId="5" fillId="20" borderId="0" xfId="2" applyNumberFormat="1" applyFont="1" applyFill="1"/>
    <xf numFmtId="0" fontId="5" fillId="20" borderId="0" xfId="0" applyFont="1" applyFill="1"/>
    <xf numFmtId="10" fontId="3" fillId="0" borderId="0" xfId="2" applyNumberFormat="1" applyFon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12" fillId="6" borderId="8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15" fontId="17" fillId="4" borderId="3" xfId="0" applyNumberFormat="1" applyFont="1" applyFill="1" applyBorder="1" applyAlignment="1">
      <alignment horizontal="left" vertical="center"/>
    </xf>
    <xf numFmtId="15" fontId="17" fillId="4" borderId="0" xfId="0" applyNumberFormat="1" applyFont="1" applyFill="1" applyAlignment="1">
      <alignment horizontal="left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171" fontId="0" fillId="8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Yield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Yieldcurve!$K$9</c:f>
              <c:strCache>
                <c:ptCount val="1"/>
                <c:pt idx="0">
                  <c:v>cubic yield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Yieldcurve!$J$10:$J$19</c:f>
              <c:numCache>
                <c:formatCode>General</c:formatCode>
                <c:ptCount val="10"/>
                <c:pt idx="0">
                  <c:v>2.0299999999999998</c:v>
                </c:pt>
                <c:pt idx="1">
                  <c:v>3.03</c:v>
                </c:pt>
                <c:pt idx="2" formatCode="0.00">
                  <c:v>4.2</c:v>
                </c:pt>
                <c:pt idx="3">
                  <c:v>5.07</c:v>
                </c:pt>
                <c:pt idx="4" formatCode="0.00">
                  <c:v>6.2</c:v>
                </c:pt>
                <c:pt idx="5">
                  <c:v>7.12</c:v>
                </c:pt>
                <c:pt idx="6" formatCode="0.00">
                  <c:v>8.41</c:v>
                </c:pt>
                <c:pt idx="7">
                  <c:v>9.16</c:v>
                </c:pt>
                <c:pt idx="8" formatCode="0.00">
                  <c:v>10.33</c:v>
                </c:pt>
                <c:pt idx="9" formatCode="0.00">
                  <c:v>11.2</c:v>
                </c:pt>
              </c:numCache>
            </c:numRef>
          </c:xVal>
          <c:yVal>
            <c:numRef>
              <c:f>Yieldcurve!$K$10:$K$19</c:f>
              <c:numCache>
                <c:formatCode>0.00%</c:formatCode>
                <c:ptCount val="10"/>
                <c:pt idx="0">
                  <c:v>9.1002560132757607E-2</c:v>
                </c:pt>
                <c:pt idx="1">
                  <c:v>9.6976289287822398E-2</c:v>
                </c:pt>
                <c:pt idx="2">
                  <c:v>9.9319237123677698E-2</c:v>
                </c:pt>
                <c:pt idx="3">
                  <c:v>0.100458084506897</c:v>
                </c:pt>
                <c:pt idx="4">
                  <c:v>0.103134021658633</c:v>
                </c:pt>
                <c:pt idx="5">
                  <c:v>0.105712273681911</c:v>
                </c:pt>
                <c:pt idx="6">
                  <c:v>0.108507876422943</c:v>
                </c:pt>
                <c:pt idx="7">
                  <c:v>0.10935359171900801</c:v>
                </c:pt>
                <c:pt idx="8">
                  <c:v>0.110036392411723</c:v>
                </c:pt>
                <c:pt idx="9">
                  <c:v>0.110356501366721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A6-4ED2-9963-CAA4A1B0C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04960"/>
        <c:axId val="440288640"/>
      </c:scatterChart>
      <c:valAx>
        <c:axId val="44030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88640"/>
        <c:crosses val="autoZero"/>
        <c:crossBetween val="midCat"/>
      </c:valAx>
      <c:valAx>
        <c:axId val="44028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0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92-4AC0-9A82-289EC789DFF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B7-46B9-9F40-62CB1BA1AC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'Dur and Con'!$B$2:$E$2</c:f>
              <c:strCache>
                <c:ptCount val="4"/>
                <c:pt idx="0">
                  <c:v>Portfolio Duration</c:v>
                </c:pt>
                <c:pt idx="1">
                  <c:v>Liability Duration</c:v>
                </c:pt>
                <c:pt idx="2">
                  <c:v>Portfolio convexity</c:v>
                </c:pt>
                <c:pt idx="3">
                  <c:v>Liability convexity</c:v>
                </c:pt>
              </c:strCache>
            </c:strRef>
          </c:cat>
          <c:val>
            <c:numRef>
              <c:f>'Dur and Con'!$B$3:$E$3</c:f>
              <c:numCache>
                <c:formatCode>General</c:formatCode>
                <c:ptCount val="4"/>
                <c:pt idx="0">
                  <c:v>5.8828895882836933</c:v>
                </c:pt>
                <c:pt idx="1">
                  <c:v>5.8828841692607616</c:v>
                </c:pt>
                <c:pt idx="2">
                  <c:v>26.332854447881797</c:v>
                </c:pt>
                <c:pt idx="3">
                  <c:v>20.462172766214465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7-46B9-9F40-62CB1BA1A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6804352"/>
        <c:axId val="1866800032"/>
      </c:barChart>
      <c:catAx>
        <c:axId val="1866804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800032"/>
        <c:crosses val="autoZero"/>
        <c:auto val="1"/>
        <c:lblAlgn val="ctr"/>
        <c:lblOffset val="100"/>
        <c:noMultiLvlLbl val="0"/>
      </c:catAx>
      <c:valAx>
        <c:axId val="186680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80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622909455158682"/>
          <c:y val="2.4067388688327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'Market shift'!$N$4</c:f>
              <c:strCache>
                <c:ptCount val="1"/>
                <c:pt idx="0">
                  <c:v>Surplus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'Market shift'!$L$5:$L$66</c:f>
              <c:numCache>
                <c:formatCode>0.00%</c:formatCode>
                <c:ptCount val="62"/>
                <c:pt idx="1">
                  <c:v>-0.05</c:v>
                </c:pt>
                <c:pt idx="2">
                  <c:v>-4.7500000000000001E-2</c:v>
                </c:pt>
                <c:pt idx="3">
                  <c:v>-4.4999999999999998E-2</c:v>
                </c:pt>
                <c:pt idx="4">
                  <c:v>-4.2500000000000003E-2</c:v>
                </c:pt>
                <c:pt idx="5">
                  <c:v>-0.04</c:v>
                </c:pt>
                <c:pt idx="6">
                  <c:v>-3.7499999999999999E-2</c:v>
                </c:pt>
                <c:pt idx="7">
                  <c:v>-3.5000000000000003E-2</c:v>
                </c:pt>
                <c:pt idx="8">
                  <c:v>-3.2500000000000001E-2</c:v>
                </c:pt>
                <c:pt idx="9">
                  <c:v>-0.03</c:v>
                </c:pt>
                <c:pt idx="10">
                  <c:v>-2.75E-2</c:v>
                </c:pt>
                <c:pt idx="11">
                  <c:v>-2.5000000000000001E-2</c:v>
                </c:pt>
                <c:pt idx="12">
                  <c:v>-2.2499999999999999E-2</c:v>
                </c:pt>
                <c:pt idx="13">
                  <c:v>-0.02</c:v>
                </c:pt>
                <c:pt idx="14">
                  <c:v>-1.7500000000000002E-2</c:v>
                </c:pt>
                <c:pt idx="15">
                  <c:v>-1.4999999999999999E-2</c:v>
                </c:pt>
                <c:pt idx="16">
                  <c:v>-1.2500000000000001E-2</c:v>
                </c:pt>
                <c:pt idx="17">
                  <c:v>-0.01</c:v>
                </c:pt>
                <c:pt idx="18">
                  <c:v>-7.4999999999999997E-3</c:v>
                </c:pt>
                <c:pt idx="19">
                  <c:v>-5.0000000000000001E-3</c:v>
                </c:pt>
                <c:pt idx="20">
                  <c:v>-2.5000000000000001E-3</c:v>
                </c:pt>
                <c:pt idx="21">
                  <c:v>0</c:v>
                </c:pt>
                <c:pt idx="22">
                  <c:v>2.5000000000000001E-3</c:v>
                </c:pt>
                <c:pt idx="23">
                  <c:v>5.0000000000000001E-3</c:v>
                </c:pt>
                <c:pt idx="24">
                  <c:v>7.5000000000001003E-3</c:v>
                </c:pt>
                <c:pt idx="25">
                  <c:v>1.0000000000000101E-2</c:v>
                </c:pt>
                <c:pt idx="26">
                  <c:v>1.25000000000001E-2</c:v>
                </c:pt>
                <c:pt idx="27">
                  <c:v>1.50000000000001E-2</c:v>
                </c:pt>
                <c:pt idx="28">
                  <c:v>1.7500000000000099E-2</c:v>
                </c:pt>
                <c:pt idx="29">
                  <c:v>2.0000000000000101E-2</c:v>
                </c:pt>
                <c:pt idx="30">
                  <c:v>2.25000000000001E-2</c:v>
                </c:pt>
                <c:pt idx="31">
                  <c:v>2.5000000000000099E-2</c:v>
                </c:pt>
                <c:pt idx="32">
                  <c:v>2.7500000000000101E-2</c:v>
                </c:pt>
                <c:pt idx="33">
                  <c:v>3.00000000000001E-2</c:v>
                </c:pt>
                <c:pt idx="34">
                  <c:v>3.2500000000000098E-2</c:v>
                </c:pt>
                <c:pt idx="35">
                  <c:v>3.50000000000001E-2</c:v>
                </c:pt>
                <c:pt idx="36">
                  <c:v>3.7500000000000103E-2</c:v>
                </c:pt>
                <c:pt idx="37">
                  <c:v>4.0000000000000098E-2</c:v>
                </c:pt>
                <c:pt idx="38">
                  <c:v>4.25000000000001E-2</c:v>
                </c:pt>
                <c:pt idx="39">
                  <c:v>4.5000000000000102E-2</c:v>
                </c:pt>
                <c:pt idx="40">
                  <c:v>4.7500000000000098E-2</c:v>
                </c:pt>
                <c:pt idx="41">
                  <c:v>0.05</c:v>
                </c:pt>
                <c:pt idx="42">
                  <c:v>5.2499999999999998E-2</c:v>
                </c:pt>
                <c:pt idx="43">
                  <c:v>5.5E-2</c:v>
                </c:pt>
                <c:pt idx="44">
                  <c:v>5.7500000000000002E-2</c:v>
                </c:pt>
                <c:pt idx="45">
                  <c:v>0.06</c:v>
                </c:pt>
                <c:pt idx="46">
                  <c:v>6.25E-2</c:v>
                </c:pt>
                <c:pt idx="47">
                  <c:v>6.5000000000000002E-2</c:v>
                </c:pt>
                <c:pt idx="48">
                  <c:v>6.7500000000000004E-2</c:v>
                </c:pt>
                <c:pt idx="49">
                  <c:v>7.0000000000000007E-2</c:v>
                </c:pt>
                <c:pt idx="50">
                  <c:v>7.2499999999999995E-2</c:v>
                </c:pt>
                <c:pt idx="51">
                  <c:v>7.4999999999999997E-2</c:v>
                </c:pt>
                <c:pt idx="52">
                  <c:v>7.7499999999999999E-2</c:v>
                </c:pt>
                <c:pt idx="53">
                  <c:v>0.08</c:v>
                </c:pt>
                <c:pt idx="54">
                  <c:v>8.2500000000000004E-2</c:v>
                </c:pt>
                <c:pt idx="55">
                  <c:v>8.5000000000000006E-2</c:v>
                </c:pt>
                <c:pt idx="56">
                  <c:v>8.7499999999999994E-2</c:v>
                </c:pt>
                <c:pt idx="57">
                  <c:v>0.09</c:v>
                </c:pt>
                <c:pt idx="58">
                  <c:v>9.2499999999999999E-2</c:v>
                </c:pt>
                <c:pt idx="59">
                  <c:v>9.5000000000000001E-2</c:v>
                </c:pt>
                <c:pt idx="60">
                  <c:v>9.7500000000000003E-2</c:v>
                </c:pt>
                <c:pt idx="61">
                  <c:v>0.1</c:v>
                </c:pt>
              </c:numCache>
            </c:numRef>
          </c:xVal>
          <c:yVal>
            <c:numRef>
              <c:f>'Market shift'!$N$5:$N$66</c:f>
              <c:numCache>
                <c:formatCode>_("$"* #,##0.00_);_("$"* \(#,##0.00\);_("$"* "-"??_);_(@_)</c:formatCode>
                <c:ptCount val="62"/>
                <c:pt idx="0">
                  <c:v>2.9802322387695313E-5</c:v>
                </c:pt>
                <c:pt idx="1">
                  <c:v>9465365.9625680447</c:v>
                </c:pt>
                <c:pt idx="2">
                  <c:v>8508846.449041903</c:v>
                </c:pt>
                <c:pt idx="3">
                  <c:v>7620643.5306954384</c:v>
                </c:pt>
                <c:pt idx="4">
                  <c:v>6797220.5261069536</c:v>
                </c:pt>
                <c:pt idx="5">
                  <c:v>6035212.1157202721</c:v>
                </c:pt>
                <c:pt idx="6">
                  <c:v>5331416.1091974378</c:v>
                </c:pt>
                <c:pt idx="7">
                  <c:v>4682785.6124998927</c:v>
                </c:pt>
                <c:pt idx="8">
                  <c:v>4086421.5749250054</c:v>
                </c:pt>
                <c:pt idx="9">
                  <c:v>3539565.6973410845</c:v>
                </c:pt>
                <c:pt idx="10">
                  <c:v>3039593.6837930679</c:v>
                </c:pt>
                <c:pt idx="11">
                  <c:v>2584008.8195623755</c:v>
                </c:pt>
                <c:pt idx="12">
                  <c:v>2170435.8596070409</c:v>
                </c:pt>
                <c:pt idx="13">
                  <c:v>1796615.2121223211</c:v>
                </c:pt>
                <c:pt idx="14">
                  <c:v>1460397.4027270675</c:v>
                </c:pt>
                <c:pt idx="15">
                  <c:v>1159737.8055015206</c:v>
                </c:pt>
                <c:pt idx="16">
                  <c:v>892691.6278064847</c:v>
                </c:pt>
                <c:pt idx="17">
                  <c:v>657409.13645088673</c:v>
                </c:pt>
                <c:pt idx="18">
                  <c:v>452131.11340767145</c:v>
                </c:pt>
                <c:pt idx="19">
                  <c:v>275184.52986508608</c:v>
                </c:pt>
                <c:pt idx="20">
                  <c:v>124978.42795407772</c:v>
                </c:pt>
                <c:pt idx="21">
                  <c:v>2.9802322387695313E-5</c:v>
                </c:pt>
                <c:pt idx="22">
                  <c:v>-101189.14411389828</c:v>
                </c:pt>
                <c:pt idx="23">
                  <c:v>-179956.53124254942</c:v>
                </c:pt>
                <c:pt idx="24">
                  <c:v>-237602.2085775733</c:v>
                </c:pt>
                <c:pt idx="25">
                  <c:v>-275361.9658536911</c:v>
                </c:pt>
                <c:pt idx="26">
                  <c:v>-294410.40338426828</c:v>
                </c:pt>
                <c:pt idx="27">
                  <c:v>-295863.85359734297</c:v>
                </c:pt>
                <c:pt idx="28">
                  <c:v>-280783.16313558817</c:v>
                </c:pt>
                <c:pt idx="29">
                  <c:v>-250176.34226363897</c:v>
                </c:pt>
                <c:pt idx="30">
                  <c:v>-205001.08799016476</c:v>
                </c:pt>
                <c:pt idx="31">
                  <c:v>-146167.1870059967</c:v>
                </c:pt>
                <c:pt idx="32">
                  <c:v>-74538.804228007793</c:v>
                </c:pt>
                <c:pt idx="33">
                  <c:v>9063.3375377058983</c:v>
                </c:pt>
                <c:pt idx="34">
                  <c:v>103859.88157427311</c:v>
                </c:pt>
                <c:pt idx="35">
                  <c:v>209110.85988837481</c:v>
                </c:pt>
                <c:pt idx="36">
                  <c:v>324113.80976444483</c:v>
                </c:pt>
                <c:pt idx="37">
                  <c:v>448201.97972762585</c:v>
                </c:pt>
                <c:pt idx="38">
                  <c:v>580742.62062984705</c:v>
                </c:pt>
                <c:pt idx="39">
                  <c:v>721135.35778144002</c:v>
                </c:pt>
                <c:pt idx="40">
                  <c:v>868810.64024564624</c:v>
                </c:pt>
                <c:pt idx="41">
                  <c:v>1023228.2636083364</c:v>
                </c:pt>
                <c:pt idx="42">
                  <c:v>1183875.9627120197</c:v>
                </c:pt>
                <c:pt idx="43">
                  <c:v>1350268.0710101724</c:v>
                </c:pt>
                <c:pt idx="44">
                  <c:v>1521944.2433691323</c:v>
                </c:pt>
                <c:pt idx="45">
                  <c:v>1698468.2392869294</c:v>
                </c:pt>
                <c:pt idx="46">
                  <c:v>1879426.7636575401</c:v>
                </c:pt>
                <c:pt idx="47">
                  <c:v>2064428.362336576</c:v>
                </c:pt>
                <c:pt idx="48">
                  <c:v>2253102.3699076474</c:v>
                </c:pt>
                <c:pt idx="49">
                  <c:v>2445097.907163918</c:v>
                </c:pt>
                <c:pt idx="50">
                  <c:v>2640082.9259489775</c:v>
                </c:pt>
                <c:pt idx="51">
                  <c:v>2837743.2991060019</c:v>
                </c:pt>
                <c:pt idx="52">
                  <c:v>3037781.9534009993</c:v>
                </c:pt>
                <c:pt idx="53">
                  <c:v>3239918.043379426</c:v>
                </c:pt>
                <c:pt idx="54">
                  <c:v>3443886.1642227173</c:v>
                </c:pt>
                <c:pt idx="55">
                  <c:v>3649435.6017566621</c:v>
                </c:pt>
                <c:pt idx="56">
                  <c:v>3856329.6178571582</c:v>
                </c:pt>
                <c:pt idx="57">
                  <c:v>4064344.7695799768</c:v>
                </c:pt>
                <c:pt idx="58">
                  <c:v>4273270.2604224682</c:v>
                </c:pt>
                <c:pt idx="59">
                  <c:v>4482907.322201252</c:v>
                </c:pt>
                <c:pt idx="60">
                  <c:v>4693068.6261025667</c:v>
                </c:pt>
                <c:pt idx="61">
                  <c:v>4903577.7215300202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FF-4E6C-BF0B-37F02745A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828352"/>
        <c:axId val="1866827872"/>
      </c:scatterChart>
      <c:valAx>
        <c:axId val="186682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827872"/>
        <c:crosses val="autoZero"/>
        <c:crossBetween val="midCat"/>
      </c:valAx>
      <c:valAx>
        <c:axId val="18668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82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'Sensitive analysis'!$E$4</c:f>
              <c:strCache>
                <c:ptCount val="1"/>
                <c:pt idx="0">
                  <c:v>Surplus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'Sensitive analysis'!$B$5:$B$7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-100</c:v>
                </c:pt>
              </c:numCache>
            </c:numRef>
          </c:xVal>
          <c:yVal>
            <c:numRef>
              <c:f>'Sensitive analysis'!$E$5:$E$7</c:f>
              <c:numCache>
                <c:formatCode>_("$"* #,##0.00_);_("$"* \(#,##0.00\);_("$"* "-"??_);_(@_)</c:formatCode>
                <c:ptCount val="3"/>
                <c:pt idx="0">
                  <c:v>59.222476303577423</c:v>
                </c:pt>
                <c:pt idx="1">
                  <c:v>-4435.9224460124969</c:v>
                </c:pt>
                <c:pt idx="2">
                  <c:v>4592.4212148189545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81-40E2-A93D-17169A965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797632"/>
        <c:axId val="1866791872"/>
      </c:scatterChart>
      <c:valAx>
        <c:axId val="186679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791872"/>
        <c:crosses val="autoZero"/>
        <c:crossBetween val="midCat"/>
      </c:valAx>
      <c:valAx>
        <c:axId val="18667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79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558800</xdr:colOff>
      <xdr:row>21</xdr:row>
      <xdr:rowOff>177800</xdr:rowOff>
    </xdr:from>
    <xdr:to>
      <xdr:col>5</xdr:col>
      <xdr:colOff>825500</xdr:colOff>
      <xdr:row>36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25E2B7-410F-4FC7-B84F-8CD68FFC4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4</xdr:row>
      <xdr:rowOff>57150</xdr:rowOff>
    </xdr:from>
    <xdr:to>
      <xdr:col>13</xdr:col>
      <xdr:colOff>434340</xdr:colOff>
      <xdr:row>20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6E34B2-CC90-D9E9-5EA2-66084D207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69</xdr:row>
      <xdr:rowOff>99060</xdr:rowOff>
    </xdr:from>
    <xdr:to>
      <xdr:col>14</xdr:col>
      <xdr:colOff>541020</xdr:colOff>
      <xdr:row>88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DDC726-A574-9035-C8C4-9486B7E9E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2</xdr:row>
      <xdr:rowOff>118110</xdr:rowOff>
    </xdr:from>
    <xdr:to>
      <xdr:col>13</xdr:col>
      <xdr:colOff>426720</xdr:colOff>
      <xdr:row>19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EC0DD3-054B-CE9B-9F9F-5BCB2E08E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03C1-D3AB-4AD3-96F5-1DBED9ACE248}">
  <sheetPr>
    <pageSetUpPr fitToPage="1"/>
  </sheetPr>
  <dimension ref="A1:BE140"/>
  <sheetViews>
    <sheetView showZeros="0" topLeftCell="A9" zoomScale="120" zoomScaleNormal="120" workbookViewId="0">
      <selection activeCell="J6" sqref="J6"/>
    </sheetView>
  </sheetViews>
  <sheetFormatPr defaultColWidth="9.109375" defaultRowHeight="13.2" x14ac:dyDescent="0.25"/>
  <cols>
    <col min="1" max="1" width="13.88671875" style="10" customWidth="1"/>
    <col min="2" max="2" width="16.44140625" style="10" customWidth="1"/>
    <col min="3" max="3" width="12.5546875" style="10" customWidth="1"/>
    <col min="4" max="4" width="17.109375" style="10" customWidth="1"/>
    <col min="5" max="5" width="15.5546875" style="10" customWidth="1"/>
    <col min="6" max="6" width="17.44140625" style="10" customWidth="1"/>
    <col min="7" max="7" width="11.44140625" style="11" customWidth="1"/>
    <col min="8" max="9" width="9.109375" style="11"/>
    <col min="10" max="10" width="20.109375" style="12" customWidth="1"/>
    <col min="11" max="11" width="14.33203125" style="12" customWidth="1"/>
    <col min="12" max="14" width="9.109375" style="12"/>
    <col min="15" max="16" width="9.109375" style="11"/>
    <col min="17" max="17" width="9.5546875" style="11" customWidth="1"/>
    <col min="18" max="18" width="10.44140625" style="11" customWidth="1"/>
    <col min="19" max="19" width="10.109375" style="11" customWidth="1"/>
    <col min="20" max="20" width="9.5546875" style="11" customWidth="1"/>
    <col min="21" max="21" width="9.109375" style="11"/>
    <col min="22" max="29" width="9.5546875" style="11" customWidth="1"/>
    <col min="30" max="44" width="9.109375" style="11"/>
    <col min="45" max="16384" width="9.109375" style="10"/>
  </cols>
  <sheetData>
    <row r="1" spans="1:24" ht="34.5" customHeight="1" x14ac:dyDescent="0.25">
      <c r="A1" s="166" t="s">
        <v>130</v>
      </c>
      <c r="B1" s="167"/>
      <c r="C1" s="167"/>
      <c r="D1" s="167"/>
      <c r="E1" s="167"/>
      <c r="F1" s="167"/>
      <c r="G1" s="57"/>
      <c r="H1" s="57"/>
    </row>
    <row r="2" spans="1:24" ht="13.8" x14ac:dyDescent="0.25">
      <c r="A2" s="176" t="s">
        <v>129</v>
      </c>
      <c r="B2" s="177"/>
      <c r="C2" s="177"/>
      <c r="D2" s="177"/>
      <c r="E2" s="177"/>
      <c r="F2" s="47">
        <v>46132</v>
      </c>
      <c r="G2" s="57"/>
      <c r="H2" s="57"/>
    </row>
    <row r="3" spans="1:24" ht="13.8" x14ac:dyDescent="0.25">
      <c r="A3" s="164" t="s">
        <v>128</v>
      </c>
      <c r="B3" s="165"/>
      <c r="C3" s="165"/>
      <c r="D3" s="165"/>
      <c r="E3" s="165"/>
      <c r="F3" s="48">
        <v>46133</v>
      </c>
      <c r="G3" s="57"/>
      <c r="H3" s="57"/>
    </row>
    <row r="4" spans="1:24" ht="14.4" thickBot="1" x14ac:dyDescent="0.3">
      <c r="A4" s="46"/>
      <c r="B4" s="45"/>
      <c r="C4" s="45"/>
      <c r="D4" s="45"/>
      <c r="E4" s="45"/>
      <c r="F4" s="45"/>
      <c r="G4" s="57"/>
      <c r="H4" s="57"/>
    </row>
    <row r="5" spans="1:24" ht="27.75" customHeight="1" x14ac:dyDescent="0.25">
      <c r="A5" s="168" t="s">
        <v>127</v>
      </c>
      <c r="B5" s="169"/>
      <c r="C5" s="172" t="s">
        <v>126</v>
      </c>
      <c r="D5" s="174" t="s">
        <v>125</v>
      </c>
      <c r="E5" s="44" t="s">
        <v>124</v>
      </c>
      <c r="F5" s="49">
        <v>46133</v>
      </c>
      <c r="G5" s="57"/>
      <c r="H5" s="57"/>
      <c r="J5" s="12" t="s">
        <v>123</v>
      </c>
    </row>
    <row r="6" spans="1:24" ht="54" customHeight="1" thickBot="1" x14ac:dyDescent="0.3">
      <c r="A6" s="170"/>
      <c r="B6" s="171"/>
      <c r="C6" s="173"/>
      <c r="D6" s="175"/>
      <c r="E6" s="43" t="s">
        <v>122</v>
      </c>
      <c r="F6" s="50" t="s">
        <v>121</v>
      </c>
      <c r="G6" s="58" t="s">
        <v>80</v>
      </c>
      <c r="H6" s="57" t="s">
        <v>120</v>
      </c>
      <c r="O6" s="12"/>
      <c r="P6" s="12"/>
      <c r="Q6" s="12"/>
    </row>
    <row r="7" spans="1:24" ht="15" customHeight="1" x14ac:dyDescent="0.25">
      <c r="A7" s="162" t="s">
        <v>119</v>
      </c>
      <c r="B7" s="33" t="s">
        <v>118</v>
      </c>
      <c r="C7" s="42">
        <v>8.1500000000000003E-2</v>
      </c>
      <c r="D7" s="41">
        <v>7.5128217823417817E-2</v>
      </c>
      <c r="E7" s="41">
        <v>8.0149999999999999E-2</v>
      </c>
      <c r="F7" s="51">
        <v>7.8699999999999992E-2</v>
      </c>
      <c r="G7" s="59">
        <f t="shared" ref="G7:G18" si="0">(E7+F7)/2</f>
        <v>7.9424999999999996E-2</v>
      </c>
      <c r="H7" s="60">
        <v>0.24931506849315069</v>
      </c>
      <c r="I7" s="22"/>
      <c r="L7" s="13"/>
      <c r="M7" s="13">
        <v>1.4500000000000068E-3</v>
      </c>
      <c r="N7" s="13"/>
      <c r="O7" s="30"/>
      <c r="P7" s="30"/>
      <c r="Q7" s="30"/>
      <c r="R7" s="30"/>
      <c r="S7" s="30"/>
      <c r="T7" s="22"/>
      <c r="U7" s="22"/>
      <c r="V7" s="22"/>
      <c r="W7" s="22"/>
      <c r="X7" s="22"/>
    </row>
    <row r="8" spans="1:24" ht="15" customHeight="1" x14ac:dyDescent="0.25">
      <c r="A8" s="162"/>
      <c r="B8" s="36" t="s">
        <v>117</v>
      </c>
      <c r="C8" s="40">
        <v>8.2199999999999995E-2</v>
      </c>
      <c r="D8" s="39">
        <v>7.949663939216832E-2</v>
      </c>
      <c r="E8" s="39">
        <v>8.1850000000000006E-2</v>
      </c>
      <c r="F8" s="52">
        <v>8.0199999999999994E-2</v>
      </c>
      <c r="G8" s="59">
        <f t="shared" si="0"/>
        <v>8.1025E-2</v>
      </c>
      <c r="H8" s="60">
        <v>0.49863013698630138</v>
      </c>
      <c r="I8" s="22"/>
      <c r="L8" s="13"/>
      <c r="M8" s="13">
        <v>1.6500000000000126E-3</v>
      </c>
      <c r="N8" s="13"/>
      <c r="O8" s="30"/>
      <c r="P8" s="30"/>
      <c r="Q8" s="30"/>
      <c r="R8" s="30"/>
      <c r="S8" s="30"/>
      <c r="T8" s="22"/>
      <c r="U8" s="22"/>
      <c r="V8" s="22"/>
      <c r="W8" s="22"/>
      <c r="X8" s="22"/>
    </row>
    <row r="9" spans="1:24" ht="15" customHeight="1" x14ac:dyDescent="0.25">
      <c r="A9" s="163"/>
      <c r="B9" s="33" t="s">
        <v>116</v>
      </c>
      <c r="C9" s="38">
        <v>8.5199999999999998E-2</v>
      </c>
      <c r="D9" s="37">
        <v>7.8185845241304938E-2</v>
      </c>
      <c r="E9" s="37">
        <v>8.3699999999999997E-2</v>
      </c>
      <c r="F9" s="53">
        <v>8.2200000000000009E-2</v>
      </c>
      <c r="G9" s="59">
        <f t="shared" si="0"/>
        <v>8.2949999999999996E-2</v>
      </c>
      <c r="H9" s="60">
        <v>0.99726027397260275</v>
      </c>
      <c r="I9" s="22"/>
      <c r="J9" s="138" t="s">
        <v>82</v>
      </c>
      <c r="K9" s="139" t="s">
        <v>115</v>
      </c>
      <c r="L9" s="13"/>
      <c r="M9" s="13">
        <v>1.4999999999999875E-3</v>
      </c>
      <c r="N9" s="13"/>
      <c r="O9" s="30"/>
      <c r="P9" s="30"/>
      <c r="Q9" s="30"/>
      <c r="R9" s="30"/>
      <c r="S9" s="30"/>
      <c r="T9" s="22"/>
      <c r="U9" s="22"/>
      <c r="V9" s="22"/>
      <c r="W9" s="22"/>
      <c r="X9" s="22"/>
    </row>
    <row r="10" spans="1:24" ht="15" customHeight="1" x14ac:dyDescent="0.25">
      <c r="A10" s="161" t="s">
        <v>114</v>
      </c>
      <c r="B10" s="36" t="s">
        <v>113</v>
      </c>
      <c r="C10" s="40">
        <v>0.13830000000000001</v>
      </c>
      <c r="D10" s="39">
        <v>9.4E-2</v>
      </c>
      <c r="E10" s="39">
        <v>9.1757916666666661E-2</v>
      </c>
      <c r="F10" s="52">
        <v>8.9827559523809539E-2</v>
      </c>
      <c r="G10" s="59">
        <f t="shared" si="0"/>
        <v>9.0792738095238107E-2</v>
      </c>
      <c r="H10" s="57">
        <v>2</v>
      </c>
      <c r="I10" s="22"/>
      <c r="J10" s="140">
        <v>2.0299999999999998</v>
      </c>
      <c r="K10" s="141">
        <f>_xll.SRS1Splines.Functions25.Cubic_Spline($H$10:$H$18,$G$10:$G$18,J10)</f>
        <v>9.1002560132757607E-2</v>
      </c>
      <c r="L10" s="13"/>
      <c r="M10" s="13">
        <v>1.9303571428571226E-3</v>
      </c>
      <c r="N10" s="13"/>
      <c r="O10" s="30"/>
      <c r="P10" s="30"/>
      <c r="Q10" s="30"/>
      <c r="R10" s="30"/>
      <c r="S10" s="30"/>
      <c r="T10" s="22"/>
      <c r="U10" s="22"/>
      <c r="V10" s="22"/>
      <c r="W10" s="22"/>
      <c r="X10" s="22"/>
    </row>
    <row r="11" spans="1:24" ht="15" customHeight="1" x14ac:dyDescent="0.25">
      <c r="A11" s="162"/>
      <c r="B11" s="33" t="s">
        <v>112</v>
      </c>
      <c r="C11" s="38">
        <v>8.8499999999999995E-2</v>
      </c>
      <c r="D11" s="37"/>
      <c r="E11" s="37">
        <v>9.7481626984126976E-2</v>
      </c>
      <c r="F11" s="53">
        <v>9.6224484126984131E-2</v>
      </c>
      <c r="G11" s="59">
        <f t="shared" si="0"/>
        <v>9.6853055555555553E-2</v>
      </c>
      <c r="H11" s="57">
        <v>3</v>
      </c>
      <c r="I11" s="22"/>
      <c r="J11" s="140">
        <v>3.03</v>
      </c>
      <c r="K11" s="141">
        <f>_xll.SRS1Splines.Functions25.Cubic_Spline($H$10:$H$18,$G$10:$G$18,J11)</f>
        <v>9.6976289287822398E-2</v>
      </c>
      <c r="L11" s="13"/>
      <c r="M11" s="13">
        <v>1.2571428571428456E-3</v>
      </c>
      <c r="N11" s="13"/>
      <c r="O11" s="30"/>
      <c r="P11" s="30"/>
      <c r="Q11" s="30"/>
      <c r="R11" s="30"/>
      <c r="S11" s="30"/>
      <c r="T11" s="22"/>
      <c r="U11" s="22"/>
      <c r="V11" s="22"/>
      <c r="W11" s="22"/>
      <c r="X11" s="22"/>
    </row>
    <row r="12" spans="1:24" ht="15" customHeight="1" x14ac:dyDescent="0.25">
      <c r="A12" s="162"/>
      <c r="B12" s="36" t="s">
        <v>111</v>
      </c>
      <c r="C12" s="35">
        <v>9.6299999999999997E-2</v>
      </c>
      <c r="D12" s="34">
        <v>9.9650000000000002E-2</v>
      </c>
      <c r="E12" s="34">
        <v>9.9699563492063492E-2</v>
      </c>
      <c r="F12" s="54">
        <v>9.8492460317460326E-2</v>
      </c>
      <c r="G12" s="59">
        <f t="shared" si="0"/>
        <v>9.9096011904761916E-2</v>
      </c>
      <c r="H12" s="57">
        <v>4</v>
      </c>
      <c r="I12" s="22"/>
      <c r="J12" s="142">
        <v>4.2</v>
      </c>
      <c r="K12" s="141">
        <f>_xll.SRS1Splines.Functions25.Cubic_Spline($H$10:$H$18,$G$10:$G$18,J12)</f>
        <v>9.9319237123677698E-2</v>
      </c>
      <c r="L12" s="13"/>
      <c r="M12" s="13">
        <v>1.2071031746031663E-3</v>
      </c>
      <c r="N12" s="13"/>
      <c r="O12" s="30"/>
      <c r="P12" s="30"/>
      <c r="Q12" s="30"/>
      <c r="R12" s="30"/>
      <c r="S12" s="30"/>
      <c r="T12" s="22"/>
      <c r="U12" s="22"/>
      <c r="V12" s="22"/>
      <c r="W12" s="22"/>
      <c r="X12" s="22"/>
    </row>
    <row r="13" spans="1:24" ht="15" customHeight="1" x14ac:dyDescent="0.25">
      <c r="A13" s="162"/>
      <c r="B13" s="33" t="s">
        <v>110</v>
      </c>
      <c r="C13" s="38">
        <v>9.8000000000000004E-2</v>
      </c>
      <c r="D13" s="37">
        <v>0.1013</v>
      </c>
      <c r="E13" s="37">
        <v>0.10096904761904762</v>
      </c>
      <c r="F13" s="53">
        <v>9.9707142857142883E-2</v>
      </c>
      <c r="G13" s="59">
        <f t="shared" si="0"/>
        <v>0.10033809523809525</v>
      </c>
      <c r="H13" s="57">
        <v>5</v>
      </c>
      <c r="I13" s="22"/>
      <c r="J13" s="140">
        <v>5.07</v>
      </c>
      <c r="K13" s="141">
        <f>_xll.SRS1Splines.Functions25.Cubic_Spline($H$10:$H$18,$G$10:$G$18,J13)</f>
        <v>0.100458084506897</v>
      </c>
      <c r="L13" s="13"/>
      <c r="M13" s="13">
        <v>1.2619047619047419E-3</v>
      </c>
      <c r="N13" s="13"/>
      <c r="O13" s="30"/>
      <c r="P13" s="30"/>
      <c r="Q13" s="30"/>
      <c r="R13" s="30"/>
      <c r="S13" s="30"/>
      <c r="T13" s="22"/>
      <c r="U13" s="22"/>
      <c r="V13" s="22"/>
      <c r="W13" s="22"/>
      <c r="X13" s="22"/>
    </row>
    <row r="14" spans="1:24" ht="15" customHeight="1" x14ac:dyDescent="0.25">
      <c r="A14" s="162"/>
      <c r="B14" s="36" t="s">
        <v>109</v>
      </c>
      <c r="C14" s="35">
        <v>0.1</v>
      </c>
      <c r="D14" s="34"/>
      <c r="E14" s="34">
        <v>0.10337777777777778</v>
      </c>
      <c r="F14" s="54">
        <v>0.1018</v>
      </c>
      <c r="G14" s="59">
        <f t="shared" si="0"/>
        <v>0.1025888888888889</v>
      </c>
      <c r="H14" s="57">
        <v>6</v>
      </c>
      <c r="I14" s="22"/>
      <c r="J14" s="142">
        <v>6.2</v>
      </c>
      <c r="K14" s="141">
        <f>_xll.SRS1Splines.Functions25.Cubic_Spline($H$10:$H$18,$G$10:$G$18,J14)</f>
        <v>0.103134021658633</v>
      </c>
      <c r="L14" s="13"/>
      <c r="M14" s="13">
        <v>1.5777777777777752E-3</v>
      </c>
      <c r="N14" s="13"/>
      <c r="O14" s="30"/>
      <c r="P14" s="30"/>
      <c r="Q14" s="30"/>
      <c r="R14" s="30"/>
      <c r="S14" s="30"/>
      <c r="T14" s="22"/>
      <c r="U14" s="22"/>
      <c r="V14" s="22"/>
      <c r="W14" s="22"/>
      <c r="X14" s="22"/>
    </row>
    <row r="15" spans="1:24" ht="15" customHeight="1" x14ac:dyDescent="0.25">
      <c r="A15" s="162"/>
      <c r="B15" s="33" t="s">
        <v>108</v>
      </c>
      <c r="C15" s="38">
        <v>0.107</v>
      </c>
      <c r="D15" s="37">
        <v>0.11</v>
      </c>
      <c r="E15" s="37">
        <v>0.1085119708994709</v>
      </c>
      <c r="F15" s="53">
        <v>0.10711077601410934</v>
      </c>
      <c r="G15" s="59">
        <f t="shared" si="0"/>
        <v>0.10781137345679012</v>
      </c>
      <c r="H15" s="57">
        <v>8</v>
      </c>
      <c r="I15" s="22"/>
      <c r="J15" s="140">
        <v>7.12</v>
      </c>
      <c r="K15" s="141">
        <f>_xll.SRS1Splines.Functions25.Cubic_Spline($H$10:$H$18,$G$10:$G$18,J15)</f>
        <v>0.105712273681911</v>
      </c>
      <c r="L15" s="13"/>
      <c r="M15" s="13">
        <v>1.4011948853615563E-3</v>
      </c>
      <c r="N15" s="13"/>
      <c r="O15" s="30"/>
      <c r="P15" s="30"/>
      <c r="Q15" s="30"/>
      <c r="R15" s="30"/>
      <c r="S15" s="30"/>
      <c r="T15" s="22"/>
      <c r="U15" s="22"/>
      <c r="V15" s="22"/>
      <c r="W15" s="22"/>
      <c r="X15" s="22"/>
    </row>
    <row r="16" spans="1:24" ht="15" customHeight="1" x14ac:dyDescent="0.25">
      <c r="A16" s="162"/>
      <c r="B16" s="36" t="s">
        <v>107</v>
      </c>
      <c r="C16" s="35">
        <v>0.1108</v>
      </c>
      <c r="D16" s="34">
        <v>0.11069000000000001</v>
      </c>
      <c r="E16" s="34">
        <v>0.11045714285714288</v>
      </c>
      <c r="F16" s="54">
        <v>0.10931142857142856</v>
      </c>
      <c r="G16" s="59">
        <f t="shared" si="0"/>
        <v>0.10988428571428571</v>
      </c>
      <c r="H16" s="57">
        <v>10</v>
      </c>
      <c r="I16" s="22"/>
      <c r="J16" s="142">
        <v>8.41</v>
      </c>
      <c r="K16" s="141">
        <f>_xll.SRS1Splines.Functions25.Cubic_Spline($H$10:$H$18,$G$10:$G$18,J16)</f>
        <v>0.108507876422943</v>
      </c>
      <c r="L16" s="13"/>
      <c r="M16" s="13">
        <v>1.1457142857143193E-3</v>
      </c>
      <c r="N16" s="13"/>
      <c r="O16" s="30"/>
      <c r="P16" s="30"/>
      <c r="Q16" s="30"/>
      <c r="R16" s="30"/>
      <c r="S16" s="30"/>
      <c r="T16" s="22"/>
      <c r="U16" s="22"/>
      <c r="V16" s="22"/>
      <c r="W16" s="22"/>
      <c r="X16" s="22"/>
    </row>
    <row r="17" spans="1:44" ht="15" customHeight="1" x14ac:dyDescent="0.25">
      <c r="A17" s="162"/>
      <c r="B17" s="33" t="s">
        <v>106</v>
      </c>
      <c r="C17" s="38">
        <v>0.108</v>
      </c>
      <c r="D17" s="37"/>
      <c r="E17" s="37">
        <v>0.11191388888888891</v>
      </c>
      <c r="F17" s="53">
        <v>0.11058611111111112</v>
      </c>
      <c r="G17" s="59">
        <f t="shared" si="0"/>
        <v>0.11125000000000002</v>
      </c>
      <c r="H17" s="57">
        <v>15</v>
      </c>
      <c r="I17" s="22"/>
      <c r="J17" s="140">
        <v>9.16</v>
      </c>
      <c r="K17" s="141">
        <f>_xll.SRS1Splines.Functions25.Cubic_Spline($H$10:$H$18,$G$10:$G$18,J17)</f>
        <v>0.10935359171900801</v>
      </c>
      <c r="L17" s="13"/>
      <c r="M17" s="13">
        <v>1.3277777777777888E-3</v>
      </c>
      <c r="N17" s="13"/>
      <c r="O17" s="30"/>
      <c r="P17" s="30"/>
      <c r="Q17" s="30"/>
      <c r="R17" s="30"/>
      <c r="S17" s="30"/>
      <c r="T17" s="22"/>
      <c r="U17" s="22"/>
      <c r="V17" s="22"/>
      <c r="W17" s="22"/>
      <c r="X17" s="22"/>
    </row>
    <row r="18" spans="1:44" ht="15" customHeight="1" x14ac:dyDescent="0.25">
      <c r="A18" s="162"/>
      <c r="B18" s="36" t="s">
        <v>105</v>
      </c>
      <c r="C18" s="35">
        <v>0.10680000000000001</v>
      </c>
      <c r="D18" s="34">
        <v>0</v>
      </c>
      <c r="E18" s="34">
        <v>0.114625</v>
      </c>
      <c r="F18" s="54">
        <v>0.11270833333333334</v>
      </c>
      <c r="G18" s="59">
        <f t="shared" si="0"/>
        <v>0.11366666666666667</v>
      </c>
      <c r="H18" s="57">
        <v>20</v>
      </c>
      <c r="I18" s="22"/>
      <c r="J18" s="142">
        <v>10.33</v>
      </c>
      <c r="K18" s="141">
        <f>_xll.SRS1Splines.Functions25.Cubic_Spline($H$10:$H$18,$G$10:$G$18,J18)</f>
        <v>0.110036392411723</v>
      </c>
      <c r="L18" s="13"/>
      <c r="M18" s="13">
        <v>1.9166666666666637E-3</v>
      </c>
      <c r="N18" s="13"/>
      <c r="O18" s="30"/>
      <c r="P18" s="30"/>
      <c r="Q18" s="30"/>
      <c r="R18" s="30"/>
      <c r="S18" s="30"/>
      <c r="T18" s="22"/>
      <c r="U18" s="22"/>
      <c r="V18" s="22"/>
      <c r="W18" s="22"/>
      <c r="X18" s="22"/>
    </row>
    <row r="19" spans="1:44" ht="15" customHeight="1" x14ac:dyDescent="0.25">
      <c r="A19" s="163"/>
      <c r="B19" s="33" t="s">
        <v>104</v>
      </c>
      <c r="C19" s="32">
        <v>0.1215</v>
      </c>
      <c r="D19" s="31">
        <v>0</v>
      </c>
      <c r="E19" s="31" t="s">
        <v>103</v>
      </c>
      <c r="F19" s="55" t="s">
        <v>103</v>
      </c>
      <c r="G19" s="22"/>
      <c r="H19" s="22"/>
      <c r="I19" s="22"/>
      <c r="J19" s="142">
        <v>11.2</v>
      </c>
      <c r="K19" s="141">
        <f>_xll.SRS1Splines.Functions25.Cubic_Spline($H$10:$H$18,$G$10:$G$18,J19)</f>
        <v>0.110356501366721</v>
      </c>
      <c r="L19" s="13"/>
      <c r="M19" s="13"/>
      <c r="N19" s="13"/>
      <c r="O19" s="30"/>
      <c r="P19" s="30"/>
      <c r="Q19" s="30"/>
      <c r="R19" s="30"/>
      <c r="S19" s="30"/>
      <c r="T19" s="22"/>
      <c r="U19" s="22"/>
      <c r="V19" s="22"/>
      <c r="W19" s="22"/>
      <c r="X19" s="22"/>
    </row>
    <row r="20" spans="1:44" x14ac:dyDescent="0.25">
      <c r="A20" s="22"/>
      <c r="B20" s="13" t="s">
        <v>106</v>
      </c>
      <c r="C20" s="13"/>
      <c r="D20" s="12"/>
      <c r="E20" s="12"/>
      <c r="F20" s="13">
        <v>0</v>
      </c>
      <c r="G20" s="13"/>
      <c r="H20" s="30"/>
      <c r="I20" s="30"/>
      <c r="J20" s="143">
        <v>7.0000000000000007E-2</v>
      </c>
      <c r="K20" s="141">
        <f>_xll.SRS1Splines.Functions25.Cubic_Spline($H$10:$H$18,$G$10:$G$18,J20)</f>
        <v>8.40113958373577E-2</v>
      </c>
      <c r="L20" s="22"/>
      <c r="M20" s="11"/>
      <c r="N20" s="11"/>
      <c r="AK20" s="10"/>
      <c r="AL20" s="10"/>
      <c r="AM20" s="10"/>
      <c r="AN20" s="10"/>
      <c r="AO20" s="10"/>
      <c r="AP20" s="10"/>
      <c r="AQ20" s="10"/>
      <c r="AR20" s="10"/>
    </row>
    <row r="21" spans="1:44" ht="15" customHeight="1" x14ac:dyDescent="0.25">
      <c r="A21" s="11"/>
      <c r="B21" s="13" t="s">
        <v>105</v>
      </c>
      <c r="C21" s="13"/>
      <c r="D21" s="12"/>
      <c r="E21" s="12"/>
      <c r="F21" s="12"/>
      <c r="G21" s="12"/>
      <c r="H21" s="12"/>
      <c r="I21" s="12"/>
      <c r="J21" s="143">
        <v>0.11</v>
      </c>
      <c r="K21" s="141">
        <f>_xll.SRS1Splines.Functions25.Cubic_Spline($H$10:$H$18,$G$10:$G$18,J21)</f>
        <v>8.3882039216594304E-2</v>
      </c>
      <c r="L21" s="11"/>
      <c r="M21" s="11"/>
      <c r="N21" s="11"/>
      <c r="AK21" s="10"/>
      <c r="AL21" s="10"/>
      <c r="AM21" s="10"/>
      <c r="AN21" s="10"/>
      <c r="AO21" s="10"/>
      <c r="AP21" s="10"/>
      <c r="AQ21" s="10"/>
      <c r="AR21" s="10"/>
    </row>
    <row r="22" spans="1:44" ht="15" customHeight="1" x14ac:dyDescent="0.25">
      <c r="A22" s="11"/>
      <c r="B22" s="13" t="s">
        <v>104</v>
      </c>
      <c r="C22" s="13"/>
      <c r="D22" s="12"/>
      <c r="E22" s="12"/>
      <c r="F22" s="12"/>
      <c r="G22" s="12"/>
      <c r="H22" s="12"/>
      <c r="I22" s="12"/>
      <c r="J22" s="143">
        <v>0.28000000000000003</v>
      </c>
      <c r="K22" s="141">
        <f>_xll.SRS1Splines.Functions25.Cubic_Spline($H$10:$H$18,$G$10:$G$18,J22)</f>
        <v>8.3517115233723904E-2</v>
      </c>
      <c r="L22" s="11"/>
      <c r="M22" s="11"/>
      <c r="N22" s="11"/>
      <c r="AK22" s="10"/>
      <c r="AL22" s="10"/>
      <c r="AM22" s="10"/>
      <c r="AN22" s="10"/>
      <c r="AO22" s="10"/>
      <c r="AP22" s="10"/>
      <c r="AQ22" s="10"/>
      <c r="AR22" s="10"/>
    </row>
    <row r="23" spans="1:44" ht="15" customHeight="1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43">
        <v>0.65</v>
      </c>
      <c r="K23" s="141">
        <f>_xll.SRS1Splines.Functions25.Cubic_Spline($H$10:$H$18,$G$10:$G$18,J23)</f>
        <v>8.3649056659922699E-2</v>
      </c>
      <c r="L23" s="11"/>
      <c r="M23" s="11"/>
      <c r="N23" s="11"/>
      <c r="AK23" s="10"/>
      <c r="AL23" s="10"/>
      <c r="AM23" s="10"/>
      <c r="AN23" s="10"/>
      <c r="AO23" s="10"/>
      <c r="AP23" s="10"/>
      <c r="AQ23" s="10"/>
      <c r="AR23" s="10"/>
    </row>
    <row r="24" spans="1:44" ht="15" customHeight="1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43">
        <v>0.74</v>
      </c>
      <c r="K24" s="141">
        <f>_xll.SRS1Splines.Functions25.Cubic_Spline($H$10:$H$18,$G$10:$G$18,J24)</f>
        <v>8.3848687277853801E-2</v>
      </c>
      <c r="L24" s="11"/>
      <c r="M24" s="11"/>
      <c r="N24" s="11"/>
      <c r="AK24" s="10"/>
      <c r="AL24" s="10"/>
      <c r="AM24" s="10"/>
      <c r="AN24" s="10"/>
      <c r="AO24" s="10"/>
      <c r="AP24" s="10"/>
      <c r="AQ24" s="10"/>
      <c r="AR24" s="10"/>
    </row>
    <row r="25" spans="1:44" ht="15" customHeight="1" x14ac:dyDescent="0.25">
      <c r="A25" s="11"/>
      <c r="B25" s="12"/>
      <c r="C25" s="12"/>
      <c r="D25" s="12"/>
      <c r="E25" s="12"/>
      <c r="F25" s="12"/>
      <c r="G25" s="12"/>
      <c r="J25" s="143">
        <v>1.03</v>
      </c>
      <c r="K25" s="141">
        <f>_xll.SRS1Splines.Functions25.Cubic_Spline($H$10:$H$18,$G$10:$G$18,J25)</f>
        <v>8.4860652826682897E-2</v>
      </c>
      <c r="L25" s="11"/>
      <c r="M25" s="11"/>
      <c r="N25" s="11"/>
      <c r="AK25" s="10"/>
      <c r="AL25" s="10"/>
      <c r="AM25" s="10"/>
      <c r="AN25" s="10"/>
      <c r="AO25" s="10"/>
      <c r="AP25" s="10"/>
      <c r="AQ25" s="10"/>
      <c r="AR25" s="10"/>
    </row>
    <row r="26" spans="1:44" ht="15" customHeight="1" x14ac:dyDescent="0.25">
      <c r="A26" s="11"/>
      <c r="B26" s="12"/>
      <c r="C26" s="12"/>
      <c r="D26" s="12"/>
      <c r="E26" s="12"/>
      <c r="F26" s="12"/>
      <c r="G26" s="12"/>
      <c r="J26" s="143">
        <v>1.1499999999999999</v>
      </c>
      <c r="K26" s="141">
        <f>_xll.SRS1Splines.Functions25.Cubic_Spline($H$10:$H$18,$G$10:$G$18,J26)</f>
        <v>8.5421021462811497E-2</v>
      </c>
      <c r="L26" s="11"/>
      <c r="M26" s="11"/>
      <c r="N26" s="11"/>
      <c r="AK26" s="10"/>
      <c r="AL26" s="10"/>
      <c r="AM26" s="10"/>
      <c r="AN26" s="10"/>
      <c r="AO26" s="10"/>
      <c r="AP26" s="10"/>
      <c r="AQ26" s="10"/>
      <c r="AR26" s="10"/>
    </row>
    <row r="27" spans="1:44" ht="15" customHeight="1" x14ac:dyDescent="0.25">
      <c r="A27" s="11"/>
      <c r="B27" s="12"/>
      <c r="C27" s="12"/>
      <c r="D27" s="12"/>
      <c r="E27" s="12"/>
      <c r="F27" s="12"/>
      <c r="G27" s="12"/>
      <c r="J27" s="143">
        <v>1.32</v>
      </c>
      <c r="K27" s="141">
        <f>_xll.SRS1Splines.Functions25.Cubic_Spline($H$10:$H$18,$G$10:$G$18,J27)</f>
        <v>8.6330065444057594E-2</v>
      </c>
      <c r="L27" s="11"/>
      <c r="M27" s="11"/>
      <c r="N27" s="11"/>
      <c r="AK27" s="10"/>
      <c r="AL27" s="10"/>
      <c r="AM27" s="10"/>
      <c r="AN27" s="10"/>
      <c r="AO27" s="10"/>
      <c r="AP27" s="10"/>
      <c r="AQ27" s="10"/>
      <c r="AR27" s="10"/>
    </row>
    <row r="28" spans="1:44" ht="15" customHeight="1" x14ac:dyDescent="0.25">
      <c r="A28" s="11"/>
      <c r="B28" s="12"/>
      <c r="C28" s="12"/>
      <c r="D28" s="12"/>
      <c r="E28" s="12"/>
      <c r="F28" s="12"/>
      <c r="G28" s="12"/>
      <c r="J28" s="143">
        <v>1.4</v>
      </c>
      <c r="K28" s="141">
        <f>_xll.SRS1Splines.Functions25.Cubic_Spline($H$10:$H$18,$G$10:$G$18,J28)</f>
        <v>8.6797664448706596E-2</v>
      </c>
      <c r="L28" s="11"/>
      <c r="M28" s="11"/>
      <c r="N28" s="11"/>
      <c r="AK28" s="10"/>
      <c r="AL28" s="10"/>
      <c r="AM28" s="10"/>
      <c r="AN28" s="10"/>
      <c r="AO28" s="10"/>
      <c r="AP28" s="10"/>
      <c r="AQ28" s="10"/>
      <c r="AR28" s="10"/>
    </row>
    <row r="29" spans="1:44" ht="15" customHeight="1" x14ac:dyDescent="0.25">
      <c r="A29" s="11"/>
      <c r="B29" s="12"/>
      <c r="C29" s="12"/>
      <c r="D29" s="12"/>
      <c r="E29" s="12"/>
      <c r="F29" s="12"/>
      <c r="G29" s="12"/>
      <c r="J29" s="143">
        <v>1.48</v>
      </c>
      <c r="K29" s="141">
        <f>_xll.SRS1Splines.Functions25.Cubic_Spline($H$10:$H$18,$G$10:$G$18,J29)</f>
        <v>8.7286796443576106E-2</v>
      </c>
      <c r="L29" s="11"/>
      <c r="M29" s="11"/>
      <c r="N29" s="11"/>
      <c r="AK29" s="10"/>
      <c r="AL29" s="10"/>
      <c r="AM29" s="10"/>
      <c r="AN29" s="10"/>
      <c r="AO29" s="10"/>
      <c r="AP29" s="10"/>
      <c r="AQ29" s="10"/>
      <c r="AR29" s="10"/>
    </row>
    <row r="30" spans="1:44" ht="12.75" customHeight="1" x14ac:dyDescent="0.25">
      <c r="A30" s="11"/>
      <c r="B30" s="12"/>
      <c r="C30" s="12"/>
      <c r="D30" s="12"/>
      <c r="E30" s="12"/>
      <c r="F30" s="12"/>
      <c r="G30" s="12"/>
      <c r="J30" s="143">
        <v>1.65</v>
      </c>
      <c r="K30" s="141">
        <f>_xll.SRS1Splines.Functions25.Cubic_Spline($H$10:$H$18,$G$10:$G$18,J30)</f>
        <v>8.8384590542223404E-2</v>
      </c>
      <c r="L30" s="11"/>
      <c r="M30" s="11"/>
      <c r="N30" s="11"/>
      <c r="AK30" s="10"/>
      <c r="AL30" s="10"/>
      <c r="AM30" s="10"/>
      <c r="AN30" s="10"/>
      <c r="AO30" s="10"/>
      <c r="AP30" s="10"/>
      <c r="AQ30" s="10"/>
      <c r="AR30" s="10"/>
    </row>
    <row r="31" spans="1:44" ht="15" customHeight="1" x14ac:dyDescent="0.25">
      <c r="A31" s="11"/>
      <c r="B31" s="12"/>
      <c r="C31" s="12"/>
      <c r="D31" s="12"/>
      <c r="E31" s="12"/>
      <c r="F31" s="12"/>
      <c r="G31" s="12"/>
      <c r="J31" s="143">
        <v>1.74</v>
      </c>
      <c r="K31" s="141">
        <f>_xll.SRS1Splines.Functions25.Cubic_Spline($H$10:$H$18,$G$10:$G$18,J31)</f>
        <v>8.89904881240796E-2</v>
      </c>
      <c r="L31" s="11"/>
      <c r="M31" s="11"/>
      <c r="N31" s="11"/>
      <c r="AK31" s="10"/>
      <c r="AL31" s="10"/>
      <c r="AM31" s="10"/>
      <c r="AN31" s="10"/>
      <c r="AO31" s="10"/>
      <c r="AP31" s="10"/>
      <c r="AQ31" s="10"/>
      <c r="AR31" s="10"/>
    </row>
    <row r="32" spans="1:44" ht="15" customHeight="1" x14ac:dyDescent="0.25">
      <c r="A32" s="11"/>
      <c r="B32" s="12"/>
      <c r="C32" s="12"/>
      <c r="D32" s="12"/>
      <c r="E32" s="12"/>
      <c r="F32" s="12"/>
      <c r="G32" s="12"/>
      <c r="J32" s="143">
        <v>1.82</v>
      </c>
      <c r="K32" s="141">
        <f>_xll.SRS1Splines.Functions25.Cubic_Spline($H$10:$H$18,$G$10:$G$18,J32)</f>
        <v>8.95391050044331E-2</v>
      </c>
      <c r="L32" s="11"/>
      <c r="M32" s="11"/>
      <c r="N32" s="11"/>
      <c r="AK32" s="10"/>
      <c r="AL32" s="10"/>
      <c r="AM32" s="10"/>
      <c r="AN32" s="10"/>
      <c r="AO32" s="10"/>
      <c r="AP32" s="10"/>
      <c r="AQ32" s="10"/>
      <c r="AR32" s="10"/>
    </row>
    <row r="33" spans="1:44" ht="15" customHeight="1" x14ac:dyDescent="0.25">
      <c r="A33" s="11"/>
      <c r="B33" s="12"/>
      <c r="C33" s="12"/>
      <c r="D33" s="12"/>
      <c r="E33" s="12"/>
      <c r="F33" s="12"/>
      <c r="G33" s="12"/>
      <c r="J33" s="143">
        <v>1.9</v>
      </c>
      <c r="K33" s="141">
        <f>_xll.SRS1Splines.Functions25.Cubic_Spline($H$10:$H$18,$G$10:$G$18,J33)</f>
        <v>9.00941817818528E-2</v>
      </c>
      <c r="L33" s="11"/>
      <c r="M33" s="11"/>
      <c r="N33" s="11"/>
      <c r="AK33" s="10"/>
      <c r="AL33" s="10"/>
      <c r="AM33" s="10"/>
      <c r="AN33" s="10"/>
      <c r="AO33" s="10"/>
      <c r="AP33" s="10"/>
      <c r="AQ33" s="10"/>
      <c r="AR33" s="10"/>
    </row>
    <row r="34" spans="1:44" ht="15" customHeight="1" x14ac:dyDescent="0.25">
      <c r="A34" s="11"/>
      <c r="B34" s="12"/>
      <c r="C34" s="12"/>
      <c r="D34" s="12"/>
      <c r="E34" s="12"/>
      <c r="F34" s="12"/>
      <c r="G34" s="12"/>
      <c r="J34" s="143">
        <v>2.0299999999999998</v>
      </c>
      <c r="K34" s="141">
        <f>_xll.SRS1Splines.Functions25.Cubic_Spline($H$10:$H$18,$G$10:$G$18,J34)</f>
        <v>9.1002560132757607E-2</v>
      </c>
      <c r="L34" s="11"/>
      <c r="M34" s="11"/>
      <c r="N34" s="11"/>
      <c r="AK34" s="10"/>
      <c r="AL34" s="10"/>
      <c r="AM34" s="10"/>
      <c r="AN34" s="10"/>
      <c r="AO34" s="10"/>
      <c r="AP34" s="10"/>
      <c r="AQ34" s="10"/>
      <c r="AR34" s="10"/>
    </row>
    <row r="35" spans="1:44" ht="15" customHeight="1" x14ac:dyDescent="0.25">
      <c r="A35" s="11"/>
      <c r="B35" s="12"/>
      <c r="C35" s="12"/>
      <c r="D35" s="12"/>
      <c r="E35" s="12"/>
      <c r="F35" s="12"/>
      <c r="G35" s="12"/>
      <c r="J35" s="143">
        <v>2.2000000000000002</v>
      </c>
      <c r="K35" s="141">
        <f>_xll.SRS1Splines.Functions25.Cubic_Spline($H$10:$H$18,$G$10:$G$18,J35)</f>
        <v>9.2184243172472105E-2</v>
      </c>
      <c r="L35" s="11"/>
      <c r="M35" s="11"/>
      <c r="N35" s="11"/>
      <c r="AK35" s="10"/>
      <c r="AL35" s="10"/>
      <c r="AM35" s="10"/>
      <c r="AN35" s="10"/>
      <c r="AO35" s="10"/>
      <c r="AP35" s="10"/>
      <c r="AQ35" s="10"/>
      <c r="AR35" s="10"/>
    </row>
    <row r="36" spans="1:44" ht="15" customHeight="1" x14ac:dyDescent="0.25">
      <c r="A36" s="11"/>
      <c r="B36" s="12"/>
      <c r="C36" s="12"/>
      <c r="D36" s="12"/>
      <c r="E36" s="12"/>
      <c r="F36" s="12"/>
      <c r="G36" s="12"/>
      <c r="J36" s="143">
        <v>2.37</v>
      </c>
      <c r="K36" s="141">
        <f>_xll.SRS1Splines.Functions25.Cubic_Spline($H$10:$H$18,$G$10:$G$18,J36)</f>
        <v>9.3333514575865195E-2</v>
      </c>
      <c r="L36" s="11"/>
      <c r="M36" s="11"/>
      <c r="N36" s="11"/>
      <c r="AK36" s="10"/>
      <c r="AL36" s="10"/>
      <c r="AM36" s="10"/>
      <c r="AN36" s="10"/>
      <c r="AO36" s="10"/>
      <c r="AP36" s="10"/>
      <c r="AQ36" s="10"/>
      <c r="AR36" s="10"/>
    </row>
    <row r="37" spans="1:44" ht="15" customHeight="1" x14ac:dyDescent="0.25">
      <c r="A37" s="11"/>
      <c r="B37" s="12"/>
      <c r="C37" s="12"/>
      <c r="D37" s="12"/>
      <c r="E37" s="12"/>
      <c r="F37" s="12"/>
      <c r="G37" s="12"/>
      <c r="J37" s="143">
        <v>2.4900000000000002</v>
      </c>
      <c r="K37" s="141">
        <f>_xll.SRS1Splines.Functions25.Cubic_Spline($H$10:$H$18,$G$10:$G$18,J37)</f>
        <v>9.4110289763709498E-2</v>
      </c>
      <c r="L37" s="11"/>
      <c r="M37" s="11"/>
      <c r="N37" s="11"/>
      <c r="AK37" s="10"/>
      <c r="AL37" s="10"/>
      <c r="AM37" s="10"/>
      <c r="AN37" s="10"/>
      <c r="AO37" s="10"/>
      <c r="AP37" s="10"/>
      <c r="AQ37" s="10"/>
      <c r="AR37" s="10"/>
    </row>
    <row r="38" spans="1:44" ht="15" customHeight="1" x14ac:dyDescent="0.25">
      <c r="A38" s="11"/>
      <c r="B38" s="12"/>
      <c r="C38" s="12"/>
      <c r="D38" s="12"/>
      <c r="E38" s="12"/>
      <c r="F38" s="12"/>
      <c r="G38" s="12"/>
      <c r="J38" s="143">
        <v>2.65</v>
      </c>
      <c r="K38" s="141">
        <f>_xll.SRS1Splines.Functions25.Cubic_Spline($H$10:$H$18,$G$10:$G$18,J38)</f>
        <v>9.5082766762326701E-2</v>
      </c>
      <c r="L38" s="11"/>
      <c r="M38" s="11"/>
      <c r="N38" s="11"/>
      <c r="AK38" s="10"/>
      <c r="AL38" s="10"/>
      <c r="AM38" s="10"/>
      <c r="AN38" s="10"/>
      <c r="AO38" s="10"/>
      <c r="AP38" s="10"/>
      <c r="AQ38" s="10"/>
      <c r="AR38" s="10"/>
    </row>
    <row r="39" spans="1:44" ht="15" customHeight="1" x14ac:dyDescent="0.25">
      <c r="A39" s="11"/>
      <c r="B39" s="12"/>
      <c r="C39" s="12"/>
      <c r="D39" s="12"/>
      <c r="E39" s="12"/>
      <c r="F39" s="12"/>
      <c r="G39" s="12"/>
      <c r="J39" s="143">
        <v>2.7</v>
      </c>
      <c r="K39" s="141">
        <f>_xll.SRS1Splines.Functions25.Cubic_Spline($H$10:$H$18,$G$10:$G$18,J39)</f>
        <v>9.5368609514886807E-2</v>
      </c>
      <c r="L39" s="11"/>
      <c r="M39" s="11"/>
      <c r="N39" s="11"/>
      <c r="AK39" s="10"/>
      <c r="AL39" s="10"/>
      <c r="AM39" s="10"/>
      <c r="AN39" s="10"/>
      <c r="AO39" s="10"/>
      <c r="AP39" s="10"/>
      <c r="AQ39" s="10"/>
      <c r="AR39" s="10"/>
    </row>
    <row r="40" spans="1:44" ht="15" customHeight="1" x14ac:dyDescent="0.25">
      <c r="A40" s="11"/>
      <c r="B40" s="12"/>
      <c r="C40" s="12"/>
      <c r="D40" s="12"/>
      <c r="E40" s="12"/>
      <c r="F40" s="12"/>
      <c r="G40" s="12"/>
      <c r="J40" s="143">
        <v>3.03</v>
      </c>
      <c r="K40" s="141">
        <f>_xll.SRS1Splines.Functions25.Cubic_Spline($H$10:$H$18,$G$10:$G$18,J40)</f>
        <v>9.6976289287822398E-2</v>
      </c>
      <c r="L40" s="11"/>
      <c r="M40" s="11"/>
      <c r="N40" s="11"/>
      <c r="AK40" s="10"/>
      <c r="AL40" s="10"/>
      <c r="AM40" s="10"/>
      <c r="AN40" s="10"/>
      <c r="AO40" s="10"/>
      <c r="AP40" s="10"/>
      <c r="AQ40" s="10"/>
      <c r="AR40" s="10"/>
    </row>
    <row r="41" spans="1:44" ht="15" customHeight="1" x14ac:dyDescent="0.25">
      <c r="A41" s="11"/>
      <c r="B41" s="12"/>
      <c r="C41" s="12"/>
      <c r="D41" s="12"/>
      <c r="E41" s="12"/>
      <c r="F41" s="12"/>
      <c r="G41" s="12"/>
      <c r="J41" s="143">
        <v>3.15</v>
      </c>
      <c r="K41" s="141">
        <f>_xll.SRS1Splines.Functions25.Cubic_Spline($H$10:$H$18,$G$10:$G$18,J41)</f>
        <v>9.7421528404809304E-2</v>
      </c>
      <c r="L41" s="11"/>
      <c r="M41" s="11"/>
      <c r="N41" s="11"/>
      <c r="AK41" s="10"/>
      <c r="AL41" s="10"/>
      <c r="AM41" s="10"/>
      <c r="AN41" s="10"/>
      <c r="AO41" s="10"/>
      <c r="AP41" s="10"/>
      <c r="AQ41" s="10"/>
      <c r="AR41" s="10"/>
    </row>
    <row r="42" spans="1:44" ht="15" customHeight="1" x14ac:dyDescent="0.25">
      <c r="A42" s="11"/>
      <c r="B42" s="12"/>
      <c r="C42" s="12"/>
      <c r="D42" s="12"/>
      <c r="E42" s="12"/>
      <c r="F42" s="12"/>
      <c r="G42" s="12"/>
      <c r="J42" s="143">
        <v>3.24</v>
      </c>
      <c r="K42" s="141">
        <f>_xll.SRS1Splines.Functions25.Cubic_Spline($H$10:$H$18,$G$10:$G$18,J42)</f>
        <v>9.7709258127113299E-2</v>
      </c>
      <c r="L42" s="11"/>
      <c r="M42" s="11"/>
      <c r="N42" s="11"/>
      <c r="AK42" s="10"/>
      <c r="AL42" s="10"/>
      <c r="AM42" s="10"/>
      <c r="AN42" s="10"/>
      <c r="AO42" s="10"/>
      <c r="AP42" s="10"/>
      <c r="AQ42" s="10"/>
      <c r="AR42" s="10"/>
    </row>
    <row r="43" spans="1:44" ht="15" customHeight="1" x14ac:dyDescent="0.25">
      <c r="A43" s="11"/>
      <c r="B43" s="12"/>
      <c r="C43" s="12"/>
      <c r="D43" s="12"/>
      <c r="E43" s="12"/>
      <c r="F43" s="12"/>
      <c r="G43" s="12"/>
      <c r="J43" s="143">
        <v>3.41</v>
      </c>
      <c r="K43" s="141">
        <f>_xll.SRS1Splines.Functions25.Cubic_Spline($H$10:$H$18,$G$10:$G$18,J43)</f>
        <v>9.8159074661940293E-2</v>
      </c>
      <c r="L43" s="11"/>
      <c r="M43" s="11"/>
      <c r="N43" s="11"/>
      <c r="AK43" s="10"/>
      <c r="AL43" s="10"/>
      <c r="AM43" s="10"/>
      <c r="AN43" s="10"/>
      <c r="AO43" s="10"/>
      <c r="AP43" s="10"/>
      <c r="AQ43" s="10"/>
      <c r="AR43" s="10"/>
    </row>
    <row r="44" spans="1:44" ht="15" customHeight="1" x14ac:dyDescent="0.25">
      <c r="A44" s="11"/>
      <c r="B44" s="12"/>
      <c r="C44" s="12"/>
      <c r="D44" s="12"/>
      <c r="E44" s="12"/>
      <c r="F44" s="12"/>
      <c r="G44" s="12"/>
      <c r="J44" s="143">
        <v>3.49</v>
      </c>
      <c r="K44" s="141">
        <f>_xll.SRS1Splines.Functions25.Cubic_Spline($H$10:$H$18,$G$10:$G$18,J44)</f>
        <v>9.83341851437666E-2</v>
      </c>
      <c r="L44" s="11"/>
      <c r="M44" s="11"/>
      <c r="N44" s="11"/>
      <c r="AK44" s="10"/>
      <c r="AL44" s="10"/>
      <c r="AM44" s="10"/>
      <c r="AN44" s="10"/>
      <c r="AO44" s="10"/>
      <c r="AP44" s="10"/>
      <c r="AQ44" s="10"/>
      <c r="AR44" s="10"/>
    </row>
    <row r="45" spans="1:44" ht="15" customHeight="1" x14ac:dyDescent="0.25">
      <c r="A45" s="11"/>
      <c r="B45" s="12"/>
      <c r="C45" s="12"/>
      <c r="D45" s="12"/>
      <c r="E45" s="12"/>
      <c r="F45" s="12"/>
      <c r="G45" s="12"/>
      <c r="J45" s="143">
        <v>3.65</v>
      </c>
      <c r="K45" s="141">
        <f>_xll.SRS1Splines.Functions25.Cubic_Spline($H$10:$H$18,$G$10:$G$18,J45)</f>
        <v>9.8627666279997694E-2</v>
      </c>
      <c r="L45" s="11"/>
      <c r="M45" s="11"/>
      <c r="N45" s="11"/>
      <c r="AK45" s="10"/>
      <c r="AL45" s="10"/>
      <c r="AM45" s="10"/>
      <c r="AN45" s="10"/>
      <c r="AO45" s="10"/>
      <c r="AP45" s="10"/>
      <c r="AQ45" s="10"/>
      <c r="AR45" s="10"/>
    </row>
    <row r="46" spans="1:44" ht="15" customHeight="1" x14ac:dyDescent="0.25">
      <c r="A46" s="11"/>
      <c r="B46" s="12"/>
      <c r="C46" s="12"/>
      <c r="D46" s="12"/>
      <c r="E46" s="12"/>
      <c r="F46" s="12"/>
      <c r="G46" s="12"/>
      <c r="J46" s="143">
        <v>3.86</v>
      </c>
      <c r="K46" s="141">
        <f>_xll.SRS1Splines.Functions25.Cubic_Spline($H$10:$H$18,$G$10:$G$18,J46)</f>
        <v>9.8927966720125299E-2</v>
      </c>
      <c r="L46" s="11"/>
      <c r="M46" s="11"/>
      <c r="N46" s="11"/>
      <c r="AK46" s="10"/>
      <c r="AL46" s="10"/>
      <c r="AM46" s="10"/>
      <c r="AN46" s="10"/>
      <c r="AO46" s="10"/>
      <c r="AP46" s="10"/>
      <c r="AQ46" s="10"/>
      <c r="AR46" s="10"/>
    </row>
    <row r="47" spans="1:44" ht="16.8" customHeight="1" x14ac:dyDescent="0.25">
      <c r="A47" s="11"/>
      <c r="B47" s="12"/>
      <c r="C47" s="12"/>
      <c r="D47" s="12"/>
      <c r="E47" s="12"/>
      <c r="F47" s="12"/>
      <c r="G47" s="12"/>
      <c r="J47" s="143">
        <v>4.07</v>
      </c>
      <c r="K47" s="141">
        <f>_xll.SRS1Splines.Functions25.Cubic_Spline($H$10:$H$18,$G$10:$G$18,J47)</f>
        <v>9.9175489691069402E-2</v>
      </c>
      <c r="L47" s="11"/>
      <c r="M47" s="11"/>
      <c r="N47" s="11"/>
      <c r="AK47" s="10"/>
      <c r="AL47" s="10"/>
      <c r="AM47" s="10"/>
      <c r="AN47" s="10"/>
      <c r="AO47" s="10"/>
      <c r="AP47" s="10"/>
      <c r="AQ47" s="10"/>
      <c r="AR47" s="10"/>
    </row>
    <row r="48" spans="1:44" ht="17.399999999999999" customHeight="1" x14ac:dyDescent="0.25">
      <c r="A48" s="11"/>
      <c r="B48" s="12"/>
      <c r="C48" s="12"/>
      <c r="D48" s="12"/>
      <c r="E48" s="12"/>
      <c r="F48" s="12"/>
      <c r="G48" s="12"/>
      <c r="J48" s="143">
        <v>4.2</v>
      </c>
      <c r="K48" s="141">
        <f>_xll.SRS1Splines.Functions25.Cubic_Spline($H$10:$H$18,$G$10:$G$18,J48)</f>
        <v>9.9319237123677698E-2</v>
      </c>
      <c r="L48" s="11"/>
      <c r="M48" s="11"/>
      <c r="N48" s="11"/>
      <c r="AK48" s="10"/>
      <c r="AL48" s="10"/>
      <c r="AM48" s="10"/>
      <c r="AN48" s="10"/>
      <c r="AO48" s="10"/>
      <c r="AP48" s="10"/>
      <c r="AQ48" s="10"/>
      <c r="AR48" s="10"/>
    </row>
    <row r="49" spans="1:57" ht="12" customHeight="1" x14ac:dyDescent="0.25">
      <c r="A49" s="11"/>
      <c r="B49" s="11"/>
      <c r="C49" s="11"/>
      <c r="D49" s="11"/>
      <c r="E49" s="11"/>
      <c r="F49" s="11"/>
      <c r="J49" s="143">
        <v>4.49</v>
      </c>
      <c r="K49" s="141">
        <f>_xll.SRS1Splines.Functions25.Cubic_Spline($H$10:$H$18,$G$10:$G$18,J49)</f>
        <v>9.9641466183029798E-2</v>
      </c>
    </row>
    <row r="50" spans="1:57" x14ac:dyDescent="0.25">
      <c r="A50" s="11"/>
      <c r="B50" s="11"/>
      <c r="C50" s="11"/>
      <c r="D50" s="11"/>
      <c r="E50" s="11"/>
      <c r="F50" s="11"/>
      <c r="J50" s="143">
        <v>4.9000000000000004</v>
      </c>
      <c r="K50" s="141">
        <f>_xll.SRS1Splines.Functions25.Cubic_Spline($H$10:$H$18,$G$10:$G$18,J50)</f>
        <v>0.10017900909794999</v>
      </c>
    </row>
    <row r="51" spans="1:57" x14ac:dyDescent="0.25">
      <c r="A51" s="25"/>
      <c r="B51" s="11"/>
      <c r="C51" s="29"/>
      <c r="D51" s="29"/>
      <c r="E51" s="29"/>
      <c r="F51" s="29"/>
      <c r="G51" s="29"/>
      <c r="H51" s="29"/>
      <c r="I51" s="29"/>
      <c r="J51" s="143">
        <v>5.07</v>
      </c>
      <c r="K51" s="141">
        <f>_xll.SRS1Splines.Functions25.Cubic_Spline($H$10:$H$18,$G$10:$G$18,J51)</f>
        <v>0.100458084506897</v>
      </c>
      <c r="L51" s="24"/>
      <c r="M51" s="24"/>
      <c r="N51" s="24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</row>
    <row r="52" spans="1:57" x14ac:dyDescent="0.25">
      <c r="A52" s="11"/>
      <c r="B52" s="11"/>
      <c r="C52" s="27"/>
      <c r="D52" s="27"/>
      <c r="E52" s="27"/>
      <c r="F52" s="27"/>
      <c r="G52" s="27"/>
      <c r="H52" s="27"/>
      <c r="I52" s="27"/>
      <c r="J52" s="143">
        <v>5.62</v>
      </c>
      <c r="K52" s="141">
        <f>_xll.SRS1Splines.Functions25.Cubic_Spline($H$10:$H$18,$G$10:$G$18,J52)</f>
        <v>0.101618467364569</v>
      </c>
      <c r="L52" s="23"/>
      <c r="M52" s="23"/>
      <c r="N52" s="23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</row>
    <row r="53" spans="1:57" x14ac:dyDescent="0.25">
      <c r="A53" s="25"/>
      <c r="B53" s="11"/>
      <c r="C53" s="22"/>
      <c r="D53" s="22"/>
      <c r="E53" s="22"/>
      <c r="F53" s="22"/>
      <c r="G53" s="22"/>
      <c r="H53" s="22"/>
      <c r="I53" s="22"/>
      <c r="J53" s="143">
        <v>5.7</v>
      </c>
      <c r="K53" s="141">
        <f>_xll.SRS1Splines.Functions25.Cubic_Spline($H$10:$H$18,$G$10:$G$18,J53)</f>
        <v>0.101813740796484</v>
      </c>
      <c r="L53" s="13"/>
      <c r="M53" s="13"/>
      <c r="N53" s="13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</row>
    <row r="54" spans="1:57" x14ac:dyDescent="0.25">
      <c r="A54" s="11"/>
      <c r="B54" s="11"/>
      <c r="C54" s="22"/>
      <c r="D54" s="22"/>
      <c r="E54" s="22"/>
      <c r="F54" s="22"/>
      <c r="G54" s="22"/>
      <c r="H54" s="22"/>
      <c r="I54" s="22"/>
      <c r="J54" s="143">
        <v>6.2</v>
      </c>
      <c r="K54" s="141">
        <f>_xll.SRS1Splines.Functions25.Cubic_Spline($H$10:$H$18,$G$10:$G$18,J54)</f>
        <v>0.103134021658633</v>
      </c>
      <c r="L54" s="13"/>
      <c r="M54" s="13"/>
      <c r="N54" s="13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</row>
    <row r="55" spans="1:57" x14ac:dyDescent="0.25">
      <c r="A55" s="12"/>
      <c r="B55" s="12"/>
      <c r="C55" s="13"/>
      <c r="D55" s="13"/>
      <c r="E55" s="13"/>
      <c r="F55" s="22"/>
      <c r="G55" s="22"/>
      <c r="H55" s="22"/>
      <c r="I55" s="22"/>
      <c r="J55" s="143">
        <v>6.45</v>
      </c>
      <c r="K55" s="141">
        <f>_xll.SRS1Splines.Functions25.Cubic_Spline($H$10:$H$18,$G$10:$G$18,J55)</f>
        <v>0.10383446722902399</v>
      </c>
      <c r="L55" s="13"/>
      <c r="M55" s="13"/>
      <c r="N55" s="13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</row>
    <row r="56" spans="1:57" x14ac:dyDescent="0.25">
      <c r="A56" s="18"/>
      <c r="B56" s="12"/>
      <c r="C56" s="13"/>
      <c r="D56" s="13"/>
      <c r="E56" s="13"/>
      <c r="F56" s="22"/>
      <c r="G56" s="22"/>
      <c r="H56" s="22"/>
      <c r="I56" s="22"/>
      <c r="J56" s="143">
        <v>6.66</v>
      </c>
      <c r="K56" s="141">
        <f>_xll.SRS1Splines.Functions25.Cubic_Spline($H$10:$H$18,$G$10:$G$18,J56)</f>
        <v>0.104429609165249</v>
      </c>
      <c r="L56" s="13"/>
      <c r="M56" s="13"/>
      <c r="N56" s="13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</row>
    <row r="57" spans="1:57" x14ac:dyDescent="0.25">
      <c r="A57" s="12"/>
      <c r="B57" s="12"/>
      <c r="C57" s="16"/>
      <c r="D57" s="16"/>
      <c r="E57" s="16"/>
      <c r="F57" s="20"/>
      <c r="G57" s="56"/>
      <c r="H57" s="56"/>
      <c r="I57" s="20"/>
      <c r="J57" s="143">
        <v>6.74</v>
      </c>
      <c r="K57" s="141">
        <f>_xll.SRS1Splines.Functions25.Cubic_Spline($H$10:$H$18,$G$10:$G$18,J57)</f>
        <v>0.104656074286491</v>
      </c>
      <c r="L57" s="16"/>
      <c r="M57" s="16"/>
      <c r="N57" s="16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</row>
    <row r="58" spans="1:57" x14ac:dyDescent="0.25">
      <c r="A58" s="12"/>
      <c r="B58" s="12"/>
      <c r="C58" s="12"/>
      <c r="D58" s="12"/>
      <c r="E58" s="12"/>
      <c r="F58" s="11"/>
      <c r="J58" s="143">
        <v>7.12</v>
      </c>
      <c r="K58" s="141">
        <f>_xll.SRS1Splines.Functions25.Cubic_Spline($H$10:$H$18,$G$10:$G$18,J58)</f>
        <v>0.105712273681911</v>
      </c>
    </row>
    <row r="59" spans="1:57" ht="15.75" customHeight="1" x14ac:dyDescent="0.25">
      <c r="A59" s="18" t="s">
        <v>102</v>
      </c>
      <c r="B59" s="12"/>
      <c r="C59" s="17" t="s">
        <v>101</v>
      </c>
      <c r="D59" s="17" t="s">
        <v>100</v>
      </c>
      <c r="E59" s="12"/>
      <c r="F59" s="11"/>
      <c r="J59" s="143">
        <v>7.2</v>
      </c>
      <c r="K59" s="141">
        <f>_xll.SRS1Splines.Functions25.Cubic_Spline($H$10:$H$18,$G$10:$G$18,J59)</f>
        <v>0.105927540480053</v>
      </c>
    </row>
    <row r="60" spans="1:57" x14ac:dyDescent="0.25">
      <c r="A60" s="12"/>
      <c r="B60" s="14"/>
      <c r="C60" s="13"/>
      <c r="D60" s="15"/>
      <c r="E60" s="12"/>
      <c r="F60" s="11"/>
      <c r="J60" s="143">
        <v>7.54</v>
      </c>
      <c r="K60" s="141">
        <f>_xll.SRS1Splines.Functions25.Cubic_Spline($H$10:$H$18,$G$10:$G$18,J60)</f>
        <v>0.106797756142299</v>
      </c>
    </row>
    <row r="61" spans="1:57" x14ac:dyDescent="0.25">
      <c r="A61" s="12"/>
      <c r="B61" s="14" t="s">
        <v>99</v>
      </c>
      <c r="C61" s="13"/>
      <c r="D61" s="15"/>
      <c r="E61" s="12"/>
      <c r="F61" s="11"/>
      <c r="J61" s="143">
        <v>7.7</v>
      </c>
      <c r="K61" s="141">
        <f>_xll.SRS1Splines.Functions25.Cubic_Spline($H$10:$H$18,$G$10:$G$18,J61)</f>
        <v>0.10717527860261</v>
      </c>
    </row>
    <row r="62" spans="1:57" x14ac:dyDescent="0.25">
      <c r="A62" s="12"/>
      <c r="B62" s="14" t="s">
        <v>98</v>
      </c>
      <c r="C62" s="13"/>
      <c r="D62" s="15"/>
      <c r="E62" s="12"/>
      <c r="F62" s="11"/>
      <c r="J62" s="143">
        <v>8.16</v>
      </c>
      <c r="K62" s="141">
        <f>_xll.SRS1Splines.Functions25.Cubic_Spline($H$10:$H$18,$G$10:$G$18,J62)</f>
        <v>0.10810648562585699</v>
      </c>
    </row>
    <row r="63" spans="1:57" x14ac:dyDescent="0.25">
      <c r="A63" s="12"/>
      <c r="B63" s="14" t="s">
        <v>97</v>
      </c>
      <c r="C63" s="13"/>
      <c r="D63" s="15"/>
      <c r="E63" s="12"/>
      <c r="F63" s="11"/>
      <c r="J63" s="143">
        <v>8.41</v>
      </c>
      <c r="K63" s="141">
        <f>_xll.SRS1Splines.Functions25.Cubic_Spline($H$10:$H$18,$G$10:$G$18,J63)</f>
        <v>0.108507876422943</v>
      </c>
    </row>
    <row r="64" spans="1:57" x14ac:dyDescent="0.25">
      <c r="A64" s="12"/>
      <c r="B64" s="14" t="s">
        <v>96</v>
      </c>
      <c r="C64" s="13"/>
      <c r="D64" s="15"/>
      <c r="E64" s="12"/>
      <c r="F64" s="11"/>
      <c r="J64" s="143">
        <v>8.9</v>
      </c>
      <c r="K64" s="141">
        <f>_xll.SRS1Splines.Functions25.Cubic_Spline($H$10:$H$18,$G$10:$G$18,J64)</f>
        <v>0.109112790249632</v>
      </c>
    </row>
    <row r="65" spans="1:11" x14ac:dyDescent="0.25">
      <c r="A65" s="12"/>
      <c r="B65" s="14" t="s">
        <v>95</v>
      </c>
      <c r="C65" s="13"/>
      <c r="D65" s="15"/>
      <c r="E65" s="12"/>
      <c r="F65" s="11"/>
      <c r="J65" s="143">
        <v>9.16</v>
      </c>
      <c r="K65" s="141">
        <f>_xll.SRS1Splines.Functions25.Cubic_Spline($H$10:$H$18,$G$10:$G$18,J65)</f>
        <v>0.10935359171900801</v>
      </c>
    </row>
    <row r="66" spans="1:11" x14ac:dyDescent="0.25">
      <c r="A66" s="12"/>
      <c r="B66" s="14" t="s">
        <v>94</v>
      </c>
      <c r="C66" s="13"/>
      <c r="D66" s="15"/>
      <c r="E66" s="12"/>
      <c r="F66" s="11"/>
      <c r="J66" s="143">
        <v>10.33</v>
      </c>
      <c r="K66" s="141">
        <f>_xll.SRS1Splines.Functions25.Cubic_Spline($H$10:$H$18,$G$10:$G$18,J66)</f>
        <v>0.110036392411723</v>
      </c>
    </row>
    <row r="67" spans="1:11" x14ac:dyDescent="0.25">
      <c r="A67" s="12"/>
      <c r="B67" s="14" t="s">
        <v>93</v>
      </c>
      <c r="C67" s="13"/>
      <c r="D67" s="15"/>
      <c r="E67" s="12"/>
      <c r="F67" s="11"/>
      <c r="J67" s="143">
        <v>11.2</v>
      </c>
      <c r="K67" s="141">
        <f>_xll.SRS1Splines.Functions25.Cubic_Spline($H$10:$H$18,$G$10:$G$18,J67)</f>
        <v>0.110356501366721</v>
      </c>
    </row>
    <row r="68" spans="1:11" x14ac:dyDescent="0.25">
      <c r="A68" s="12"/>
      <c r="B68" s="14" t="s">
        <v>92</v>
      </c>
      <c r="C68" s="13"/>
      <c r="D68" s="13"/>
      <c r="E68" s="12"/>
      <c r="F68" s="11"/>
      <c r="J68" s="143">
        <v>13.33</v>
      </c>
      <c r="K68" s="141">
        <f>_xll.SRS1Splines.Functions25.Cubic_Spline($H$10:$H$18,$G$10:$G$18,J68)</f>
        <v>0.11085380351278799</v>
      </c>
    </row>
    <row r="69" spans="1:11" x14ac:dyDescent="0.25">
      <c r="A69" s="12"/>
      <c r="B69" s="14" t="s">
        <v>91</v>
      </c>
      <c r="C69" s="13"/>
      <c r="D69" s="13"/>
      <c r="E69" s="12"/>
      <c r="F69" s="11"/>
      <c r="J69" s="143">
        <v>14.71</v>
      </c>
      <c r="K69" s="141">
        <f>_xll.SRS1Splines.Functions25.Cubic_Spline($H$10:$H$18,$G$10:$G$18,J69)</f>
        <v>0.11116702213679901</v>
      </c>
    </row>
    <row r="70" spans="1:11" x14ac:dyDescent="0.25">
      <c r="A70" s="12"/>
      <c r="B70" s="14" t="s">
        <v>90</v>
      </c>
      <c r="C70" s="13"/>
      <c r="D70" s="13"/>
      <c r="E70" s="12"/>
      <c r="F70" s="11"/>
      <c r="J70" s="143">
        <v>17.12</v>
      </c>
      <c r="K70" s="141">
        <f>_xll.SRS1Splines.Functions25.Cubic_Spline($H$10:$H$18,$G$10:$G$18,J70)</f>
        <v>0.112099366955384</v>
      </c>
    </row>
    <row r="71" spans="1:11" x14ac:dyDescent="0.25">
      <c r="A71" s="12"/>
      <c r="B71" s="14" t="s">
        <v>89</v>
      </c>
      <c r="C71" s="13"/>
      <c r="D71" s="13"/>
      <c r="E71" s="12"/>
      <c r="F71" s="11"/>
      <c r="J71" s="143">
        <v>17.71</v>
      </c>
      <c r="K71" s="141">
        <f>_xll.SRS1Splines.Functions25.Cubic_Spline($H$10:$H$18,$G$10:$G$18,J71)</f>
        <v>0.112394994726186</v>
      </c>
    </row>
    <row r="72" spans="1:11" x14ac:dyDescent="0.25">
      <c r="A72" s="12"/>
      <c r="B72" s="14" t="s">
        <v>88</v>
      </c>
      <c r="C72" s="13"/>
      <c r="D72" s="13"/>
      <c r="E72" s="12"/>
      <c r="F72" s="11"/>
      <c r="J72" s="143">
        <v>18.13</v>
      </c>
      <c r="K72" s="141">
        <f>_xll.SRS1Splines.Functions25.Cubic_Spline($H$10:$H$18,$G$10:$G$18,J72)</f>
        <v>0.112616322642629</v>
      </c>
    </row>
    <row r="73" spans="1:11" x14ac:dyDescent="0.25">
      <c r="A73" s="12"/>
      <c r="B73" s="14" t="s">
        <v>87</v>
      </c>
      <c r="C73" s="13"/>
      <c r="D73" s="13"/>
      <c r="E73" s="12"/>
      <c r="F73" s="11"/>
      <c r="J73" s="143">
        <v>18.87</v>
      </c>
      <c r="K73" s="141">
        <f>_xll.SRS1Splines.Functions25.Cubic_Spline($H$10:$H$18,$G$10:$G$18,J73)</f>
        <v>0.113022826552336</v>
      </c>
    </row>
    <row r="74" spans="1:11" x14ac:dyDescent="0.25">
      <c r="A74" s="11"/>
      <c r="B74" s="11"/>
      <c r="C74" s="11"/>
      <c r="D74" s="11"/>
      <c r="E74" s="11"/>
      <c r="F74" s="11"/>
      <c r="J74" s="140">
        <v>1.5277777777777777</v>
      </c>
      <c r="K74" s="141">
        <f>_xll.SRS1Splines.Functions25.Cubic_Spline($H$10:$H$18,$G$10:$G$18,J74)</f>
        <v>8.7588001561776999E-2</v>
      </c>
    </row>
    <row r="75" spans="1:11" x14ac:dyDescent="0.25">
      <c r="A75" s="11"/>
      <c r="B75" s="11"/>
      <c r="C75" s="11"/>
      <c r="D75" s="11"/>
      <c r="E75" s="11"/>
      <c r="F75" s="11"/>
      <c r="J75" s="140">
        <v>2.5277777777777777</v>
      </c>
      <c r="K75" s="141">
        <f>_xll.SRS1Splines.Functions25.Cubic_Spline($H$10:$H$18,$G$10:$G$18,J75)</f>
        <v>9.4347099307709806E-2</v>
      </c>
    </row>
    <row r="76" spans="1:11" x14ac:dyDescent="0.25">
      <c r="A76" s="11"/>
      <c r="B76" s="11"/>
      <c r="C76" s="11"/>
      <c r="D76" s="11"/>
      <c r="E76" s="11"/>
      <c r="F76" s="11"/>
      <c r="J76" s="140">
        <v>3.6944444444444446</v>
      </c>
      <c r="K76" s="141">
        <f>_xll.SRS1Splines.Functions25.Cubic_Spline($H$10:$H$18,$G$10:$G$18,J76)</f>
        <v>9.8697974086844401E-2</v>
      </c>
    </row>
    <row r="77" spans="1:11" x14ac:dyDescent="0.25">
      <c r="A77" s="11"/>
      <c r="B77" s="11"/>
      <c r="C77" s="11"/>
      <c r="D77" s="11"/>
      <c r="E77" s="11"/>
      <c r="F77" s="11"/>
      <c r="J77" s="140">
        <v>4.5666666666666664</v>
      </c>
      <c r="K77" s="141">
        <f>_xll.SRS1Splines.Functions25.Cubic_Spline($H$10:$H$18,$G$10:$G$18,J77)</f>
        <v>9.97316027678741E-2</v>
      </c>
    </row>
    <row r="78" spans="1:11" x14ac:dyDescent="0.25">
      <c r="A78" s="11"/>
      <c r="B78" s="11"/>
      <c r="C78" s="11"/>
      <c r="D78" s="11"/>
      <c r="E78" s="11"/>
      <c r="F78" s="11"/>
      <c r="J78" s="140">
        <v>5.6944444444444446</v>
      </c>
      <c r="K78" s="141">
        <f>_xll.SRS1Splines.Functions25.Cubic_Spline($H$10:$H$18,$G$10:$G$18,J78)</f>
        <v>0.10180000428526099</v>
      </c>
    </row>
    <row r="79" spans="1:11" x14ac:dyDescent="0.25">
      <c r="A79" s="11"/>
      <c r="B79" s="11"/>
      <c r="C79" s="11"/>
      <c r="D79" s="11"/>
      <c r="E79" s="11"/>
      <c r="F79" s="11"/>
      <c r="J79" s="140">
        <v>6.6111111111111107</v>
      </c>
      <c r="K79" s="141">
        <f>_xll.SRS1Splines.Functions25.Cubic_Spline($H$10:$H$18,$G$10:$G$18,J79)</f>
        <v>0.104290991963039</v>
      </c>
    </row>
    <row r="80" spans="1:11" x14ac:dyDescent="0.25">
      <c r="A80" s="11"/>
      <c r="B80" s="11"/>
      <c r="C80" s="11"/>
      <c r="D80" s="11"/>
      <c r="E80" s="11"/>
      <c r="F80" s="11"/>
      <c r="J80" s="140">
        <v>7.9</v>
      </c>
      <c r="K80" s="141">
        <f>_xll.SRS1Splines.Functions25.Cubic_Spline($H$10:$H$18,$G$10:$G$18,J80)</f>
        <v>0.10761082282390801</v>
      </c>
    </row>
    <row r="81" spans="1:11" x14ac:dyDescent="0.25">
      <c r="A81" s="11"/>
      <c r="B81" s="11"/>
      <c r="C81" s="11"/>
      <c r="D81" s="11"/>
      <c r="E81" s="11"/>
      <c r="F81" s="11"/>
      <c r="J81" s="140">
        <v>8.65</v>
      </c>
      <c r="K81" s="141">
        <f>_xll.SRS1Splines.Functions25.Cubic_Spline($H$10:$H$18,$G$10:$G$18,J81)</f>
        <v>0.108831591619434</v>
      </c>
    </row>
    <row r="82" spans="1:11" x14ac:dyDescent="0.25">
      <c r="A82" s="11"/>
      <c r="B82" s="11"/>
      <c r="C82" s="11"/>
      <c r="D82" s="11"/>
      <c r="E82" s="11"/>
      <c r="F82" s="11"/>
      <c r="J82" s="140">
        <v>9.8166666666666664</v>
      </c>
      <c r="K82" s="141">
        <f>_xll.SRS1Splines.Functions25.Cubic_Spline($H$10:$H$18,$G$10:$G$18,J82)</f>
        <v>0.10979071637453799</v>
      </c>
    </row>
    <row r="83" spans="1:11" x14ac:dyDescent="0.25">
      <c r="A83" s="11"/>
      <c r="B83" s="11"/>
      <c r="C83" s="11"/>
      <c r="D83" s="11"/>
      <c r="E83" s="11"/>
      <c r="F83" s="11"/>
      <c r="J83" s="140">
        <v>10.694444444444445</v>
      </c>
      <c r="K83" s="141">
        <f>_xll.SRS1Splines.Functions25.Cubic_Spline($H$10:$H$18,$G$10:$G$18,J83)</f>
        <v>0.110183508677714</v>
      </c>
    </row>
    <row r="84" spans="1:11" x14ac:dyDescent="0.25">
      <c r="A84" s="11"/>
      <c r="B84" s="11"/>
      <c r="C84" s="11"/>
      <c r="D84" s="11"/>
      <c r="E84" s="11"/>
      <c r="F84" s="11"/>
      <c r="J84" s="144">
        <v>0.43333333333333335</v>
      </c>
      <c r="K84" s="141">
        <f>_xll.SRS1Splines.Functions25.Cubic_Spline($H$10:$H$18,$G$10:$G$18,J84)</f>
        <v>8.3427828828018302E-2</v>
      </c>
    </row>
    <row r="85" spans="1:11" x14ac:dyDescent="0.25">
      <c r="A85" s="11"/>
      <c r="B85" s="11"/>
      <c r="C85" s="11"/>
      <c r="D85" s="11"/>
      <c r="E85" s="11"/>
      <c r="F85" s="11"/>
      <c r="J85" s="144">
        <v>0.3888888888888889</v>
      </c>
      <c r="K85" s="141">
        <f>_xll.SRS1Splines.Functions25.Cubic_Spline($H$10:$H$18,$G$10:$G$18,J85)</f>
        <v>8.3431556483986299E-2</v>
      </c>
    </row>
    <row r="86" spans="1:11" x14ac:dyDescent="0.25">
      <c r="A86" s="11"/>
      <c r="B86" s="11"/>
      <c r="C86" s="11"/>
      <c r="D86" s="11"/>
      <c r="E86" s="11"/>
      <c r="F86" s="11"/>
      <c r="J86" s="144">
        <v>0.22222222222222221</v>
      </c>
      <c r="K86" s="141">
        <f>_xll.SRS1Splines.Functions25.Cubic_Spline($H$10:$H$18,$G$10:$G$18,J86)</f>
        <v>8.3608492583348099E-2</v>
      </c>
    </row>
    <row r="87" spans="1:11" x14ac:dyDescent="0.25">
      <c r="A87" s="11"/>
      <c r="B87" s="11"/>
      <c r="C87" s="11"/>
      <c r="D87" s="11"/>
      <c r="E87" s="11"/>
      <c r="F87" s="11"/>
      <c r="J87" s="144">
        <v>0.15</v>
      </c>
      <c r="K87" s="141">
        <f>_xll.SRS1Splines.Functions25.Cubic_Spline($H$10:$H$18,$G$10:$G$18,J87)</f>
        <v>8.3769639825629405E-2</v>
      </c>
    </row>
    <row r="88" spans="1:11" x14ac:dyDescent="0.25">
      <c r="A88" s="11"/>
      <c r="B88" s="11"/>
      <c r="C88" s="11"/>
      <c r="D88" s="11"/>
      <c r="E88" s="11"/>
      <c r="F88" s="11"/>
      <c r="J88" s="144">
        <v>0.23333333333333334</v>
      </c>
      <c r="K88" s="141">
        <f>_xll.SRS1Splines.Functions25.Cubic_Spline($H$10:$H$18,$G$10:$G$18,J88)</f>
        <v>8.3588368850297495E-2</v>
      </c>
    </row>
    <row r="89" spans="1:11" x14ac:dyDescent="0.25">
      <c r="A89" s="11"/>
      <c r="B89" s="11"/>
      <c r="C89" s="11"/>
      <c r="D89" s="11"/>
      <c r="E89" s="11"/>
      <c r="F89" s="11"/>
      <c r="J89" s="144">
        <v>0.52777777777777779</v>
      </c>
      <c r="K89" s="141">
        <f>_xll.SRS1Splines.Functions25.Cubic_Spline($H$10:$H$18,$G$10:$G$18,J89)</f>
        <v>8.3476913319228699E-2</v>
      </c>
    </row>
    <row r="90" spans="1:11" x14ac:dyDescent="0.25">
      <c r="A90" s="11"/>
      <c r="B90" s="11"/>
      <c r="C90" s="11"/>
      <c r="D90" s="11"/>
      <c r="E90" s="11"/>
      <c r="F90" s="11"/>
      <c r="J90" s="144">
        <v>0.65</v>
      </c>
      <c r="K90" s="141">
        <f>_xll.SRS1Splines.Functions25.Cubic_Spline($H$10:$H$18,$G$10:$G$18,J90)</f>
        <v>8.3649056659922699E-2</v>
      </c>
    </row>
    <row r="91" spans="1:11" x14ac:dyDescent="0.25">
      <c r="A91" s="11"/>
      <c r="B91" s="11"/>
      <c r="C91" s="11"/>
      <c r="D91" s="11"/>
      <c r="E91" s="11"/>
      <c r="F91" s="11"/>
      <c r="J91" s="144">
        <v>0.81666666666666665</v>
      </c>
      <c r="K91" s="141">
        <f>_xll.SRS1Splines.Functions25.Cubic_Spline($H$10:$H$18,$G$10:$G$18,J91)</f>
        <v>8.4064042989909493E-2</v>
      </c>
    </row>
    <row r="92" spans="1:11" x14ac:dyDescent="0.25">
      <c r="A92" s="11"/>
      <c r="B92" s="11"/>
      <c r="C92" s="11"/>
      <c r="D92" s="11"/>
      <c r="E92" s="11"/>
      <c r="F92" s="11"/>
      <c r="J92" s="144">
        <v>0.9</v>
      </c>
      <c r="K92" s="141">
        <f>_xll.SRS1Splines.Functions25.Cubic_Spline($H$10:$H$18,$G$10:$G$18,J92)</f>
        <v>8.43422795460472E-2</v>
      </c>
    </row>
    <row r="93" spans="1:11" x14ac:dyDescent="0.25">
      <c r="A93" s="11"/>
      <c r="B93" s="11"/>
      <c r="C93" s="11"/>
      <c r="D93" s="11"/>
      <c r="E93" s="11"/>
      <c r="F93" s="11"/>
      <c r="J93" s="144">
        <v>0.98333333333333328</v>
      </c>
      <c r="K93" s="141">
        <f>_xll.SRS1Splines.Functions25.Cubic_Spline($H$10:$H$18,$G$10:$G$18,J93)</f>
        <v>8.4663351550033794E-2</v>
      </c>
    </row>
    <row r="94" spans="1:11" x14ac:dyDescent="0.25">
      <c r="A94" s="11"/>
      <c r="B94" s="11"/>
      <c r="C94" s="11"/>
      <c r="D94" s="11"/>
      <c r="E94" s="11"/>
      <c r="F94" s="11"/>
      <c r="J94" s="144">
        <v>1.1499999999999999</v>
      </c>
      <c r="K94" s="141">
        <f>_xll.SRS1Splines.Functions25.Cubic_Spline($H$10:$H$18,$G$10:$G$18,J94)</f>
        <v>8.5421021462811497E-2</v>
      </c>
    </row>
    <row r="95" spans="1:11" x14ac:dyDescent="0.25">
      <c r="J95" s="144">
        <v>1.2333333333333334</v>
      </c>
      <c r="K95" s="141">
        <f>_xll.SRS1Splines.Functions25.Cubic_Spline($H$10:$H$18,$G$10:$G$18,J95)</f>
        <v>8.5851129152231601E-2</v>
      </c>
    </row>
    <row r="96" spans="1:11" x14ac:dyDescent="0.25">
      <c r="J96" s="144">
        <v>1.3166666666666667</v>
      </c>
      <c r="K96" s="141">
        <f>_xll.SRS1Splines.Functions25.Cubic_Spline($H$10:$H$18,$G$10:$G$18,J96)</f>
        <v>8.6311091850758498E-2</v>
      </c>
    </row>
    <row r="97" spans="10:11" x14ac:dyDescent="0.25">
      <c r="J97" s="144">
        <v>1.4</v>
      </c>
      <c r="K97" s="141">
        <f>_xll.SRS1Splines.Functions25.Cubic_Spline($H$10:$H$18,$G$10:$G$18,J97)</f>
        <v>8.6797664448706596E-2</v>
      </c>
    </row>
    <row r="98" spans="10:11" x14ac:dyDescent="0.25">
      <c r="J98" s="144">
        <v>1.5277777777777777</v>
      </c>
      <c r="K98" s="141">
        <f>_xll.SRS1Splines.Functions25.Cubic_Spline($H$10:$H$18,$G$10:$G$18,J98)</f>
        <v>8.7588001561776999E-2</v>
      </c>
    </row>
    <row r="99" spans="10:11" x14ac:dyDescent="0.25">
      <c r="J99" s="144">
        <v>1.6944444444444444</v>
      </c>
      <c r="K99" s="141">
        <f>_xll.SRS1Splines.Functions25.Cubic_Spline($H$10:$H$18,$G$10:$G$18,J99)</f>
        <v>8.8682066755910505E-2</v>
      </c>
    </row>
    <row r="100" spans="10:11" x14ac:dyDescent="0.25">
      <c r="J100" s="144">
        <v>1.8611111111111112</v>
      </c>
      <c r="K100" s="141">
        <f>_xll.SRS1Splines.Functions25.Cubic_Spline($H$10:$H$18,$G$10:$G$18,J100)</f>
        <v>8.9823726892098499E-2</v>
      </c>
    </row>
    <row r="101" spans="10:11" x14ac:dyDescent="0.25">
      <c r="J101" s="144">
        <v>1.9833333333333334</v>
      </c>
      <c r="K101" s="141">
        <f>_xll.SRS1Splines.Functions25.Cubic_Spline($H$10:$H$18,$G$10:$G$18,J101)</f>
        <v>9.0676160604555203E-2</v>
      </c>
    </row>
    <row r="102" spans="10:11" x14ac:dyDescent="0.25">
      <c r="J102" s="144">
        <v>2.15</v>
      </c>
      <c r="K102" s="141">
        <f>_xll.SRS1Splines.Functions25.Cubic_Spline($H$10:$H$18,$G$10:$G$18,J102)</f>
        <v>9.18388202060859E-2</v>
      </c>
    </row>
    <row r="103" spans="10:11" x14ac:dyDescent="0.25">
      <c r="J103" s="144">
        <v>2.1944444444444446</v>
      </c>
      <c r="K103" s="141">
        <f>_xll.SRS1Splines.Functions25.Cubic_Spline($H$10:$H$18,$G$10:$G$18,J103)</f>
        <v>9.2145988480700505E-2</v>
      </c>
    </row>
    <row r="104" spans="10:11" x14ac:dyDescent="0.25">
      <c r="J104" s="144">
        <v>2.5277777777777777</v>
      </c>
      <c r="K104" s="141">
        <f>_xll.SRS1Splines.Functions25.Cubic_Spline($H$10:$H$18,$G$10:$G$18,J104)</f>
        <v>9.4347099307709806E-2</v>
      </c>
    </row>
    <row r="105" spans="10:11" x14ac:dyDescent="0.25">
      <c r="J105" s="144">
        <v>2.65</v>
      </c>
      <c r="K105" s="141">
        <f>_xll.SRS1Splines.Functions25.Cubic_Spline($H$10:$H$18,$G$10:$G$18,J105)</f>
        <v>9.5082766762326701E-2</v>
      </c>
    </row>
    <row r="106" spans="10:11" x14ac:dyDescent="0.25">
      <c r="J106" s="144">
        <v>2.7333333333333334</v>
      </c>
      <c r="K106" s="141">
        <f>_xll.SRS1Splines.Functions25.Cubic_Spline($H$10:$H$18,$G$10:$G$18,J106)</f>
        <v>9.5553762833784306E-2</v>
      </c>
    </row>
    <row r="107" spans="10:11" x14ac:dyDescent="0.25">
      <c r="J107" s="144">
        <v>2.9</v>
      </c>
      <c r="K107" s="141">
        <f>_xll.SRS1Splines.Functions25.Cubic_Spline($H$10:$H$18,$G$10:$G$18,J107)</f>
        <v>9.64068389713163E-2</v>
      </c>
    </row>
    <row r="108" spans="10:11" x14ac:dyDescent="0.25">
      <c r="J108" s="144">
        <v>2.9833333333333334</v>
      </c>
      <c r="K108" s="141">
        <f>_xll.SRS1Splines.Functions25.Cubic_Spline($H$10:$H$18,$G$10:$G$18,J108)</f>
        <v>9.67824288180196E-2</v>
      </c>
    </row>
    <row r="109" spans="10:11" x14ac:dyDescent="0.25">
      <c r="J109" s="144">
        <v>3.15</v>
      </c>
      <c r="K109" s="141">
        <f>_xll.SRS1Splines.Functions25.Cubic_Spline($H$10:$H$18,$G$10:$G$18,J109)</f>
        <v>9.7421528404809304E-2</v>
      </c>
    </row>
    <row r="110" spans="10:11" x14ac:dyDescent="0.25">
      <c r="J110" s="144">
        <v>3.3611111111111112</v>
      </c>
      <c r="K110" s="141">
        <f>_xll.SRS1Splines.Functions25.Cubic_Spline($H$10:$H$18,$G$10:$G$18,J110)</f>
        <v>9.8041194507298104E-2</v>
      </c>
    </row>
    <row r="111" spans="10:11" x14ac:dyDescent="0.25">
      <c r="J111" s="144">
        <v>3.5666666666666669</v>
      </c>
      <c r="K111" s="141">
        <f>_xll.SRS1Splines.Functions25.Cubic_Spline($H$10:$H$18,$G$10:$G$18,J111)</f>
        <v>9.8483395352618103E-2</v>
      </c>
    </row>
    <row r="112" spans="10:11" x14ac:dyDescent="0.25">
      <c r="J112" s="144">
        <v>3.6944444444444446</v>
      </c>
      <c r="K112" s="141">
        <f>_xll.SRS1Splines.Functions25.Cubic_Spline($H$10:$H$18,$G$10:$G$18,J112)</f>
        <v>9.8697974086844401E-2</v>
      </c>
    </row>
    <row r="113" spans="10:11" x14ac:dyDescent="0.25">
      <c r="J113" s="144">
        <v>3.9833333333333334</v>
      </c>
      <c r="K113" s="141">
        <f>_xll.SRS1Splines.Functions25.Cubic_Spline($H$10:$H$18,$G$10:$G$18,J113)</f>
        <v>9.9076769193821093E-2</v>
      </c>
    </row>
    <row r="114" spans="10:11" x14ac:dyDescent="0.25">
      <c r="J114" s="144">
        <v>4.4000000000000004</v>
      </c>
      <c r="K114" s="141">
        <f>_xll.SRS1Splines.Functions25.Cubic_Spline($H$10:$H$18,$G$10:$G$18,J114)</f>
        <v>9.9539280834124194E-2</v>
      </c>
    </row>
    <row r="115" spans="10:11" x14ac:dyDescent="0.25">
      <c r="J115" s="144">
        <v>4.5666666666666664</v>
      </c>
      <c r="K115" s="141">
        <f>_xll.SRS1Splines.Functions25.Cubic_Spline($H$10:$H$18,$G$10:$G$18,J115)</f>
        <v>9.97316027678741E-2</v>
      </c>
    </row>
    <row r="116" spans="10:11" x14ac:dyDescent="0.25">
      <c r="J116" s="144">
        <v>5.1111111111111107</v>
      </c>
      <c r="K116" s="141">
        <f>_xll.SRS1Splines.Functions25.Cubic_Spline($H$10:$H$18,$G$10:$G$18,J116)</f>
        <v>0.100531843161383</v>
      </c>
    </row>
    <row r="117" spans="10:11" x14ac:dyDescent="0.25">
      <c r="J117" s="144">
        <v>5.1944444444444446</v>
      </c>
      <c r="K117" s="141">
        <f>_xll.SRS1Splines.Functions25.Cubic_Spline($H$10:$H$18,$G$10:$G$18,J117)</f>
        <v>0.100688496123864</v>
      </c>
    </row>
    <row r="118" spans="10:11" x14ac:dyDescent="0.25">
      <c r="J118" s="144">
        <v>5.6944444444444446</v>
      </c>
      <c r="K118" s="141">
        <f>_xll.SRS1Splines.Functions25.Cubic_Spline($H$10:$H$18,$G$10:$G$18,J118)</f>
        <v>0.10180000428526099</v>
      </c>
    </row>
    <row r="119" spans="10:11" x14ac:dyDescent="0.25">
      <c r="J119" s="144">
        <v>5.9444444444444446</v>
      </c>
      <c r="K119" s="141">
        <f>_xll.SRS1Splines.Functions25.Cubic_Spline($H$10:$H$18,$G$10:$G$18,J119)</f>
        <v>0.10244094414895399</v>
      </c>
    </row>
    <row r="120" spans="10:11" x14ac:dyDescent="0.25">
      <c r="J120" s="144">
        <v>6.15</v>
      </c>
      <c r="K120" s="141">
        <f>_xll.SRS1Splines.Functions25.Cubic_Spline($H$10:$H$18,$G$10:$G$18,J120)</f>
        <v>0.102996132006862</v>
      </c>
    </row>
    <row r="121" spans="10:11" x14ac:dyDescent="0.25">
      <c r="J121" s="144">
        <v>6.2333333333333334</v>
      </c>
      <c r="K121" s="141">
        <f>_xll.SRS1Splines.Functions25.Cubic_Spline($H$10:$H$18,$G$10:$G$18,J121)</f>
        <v>0.103226445764032</v>
      </c>
    </row>
    <row r="122" spans="10:11" x14ac:dyDescent="0.25">
      <c r="J122" s="144">
        <v>6.6111111111111107</v>
      </c>
      <c r="K122" s="141">
        <f>_xll.SRS1Splines.Functions25.Cubic_Spline($H$10:$H$18,$G$10:$G$18,J122)</f>
        <v>0.104290991963039</v>
      </c>
    </row>
    <row r="123" spans="10:11" x14ac:dyDescent="0.25">
      <c r="J123" s="144">
        <v>6.6944444444444446</v>
      </c>
      <c r="K123" s="141">
        <f>_xll.SRS1Splines.Functions25.Cubic_Spline($H$10:$H$18,$G$10:$G$18,J123)</f>
        <v>0.104527189859319</v>
      </c>
    </row>
    <row r="124" spans="10:11" x14ac:dyDescent="0.25">
      <c r="J124" s="144">
        <v>7.0277777777777777</v>
      </c>
      <c r="K124" s="141">
        <f>_xll.SRS1Splines.Functions25.Cubic_Spline($H$10:$H$18,$G$10:$G$18,J124)</f>
        <v>0.105460372218454</v>
      </c>
    </row>
    <row r="125" spans="10:11" x14ac:dyDescent="0.25">
      <c r="J125" s="144">
        <v>7.1944444444444446</v>
      </c>
      <c r="K125" s="141">
        <f>_xll.SRS1Splines.Functions25.Cubic_Spline($H$10:$H$18,$G$10:$G$18,J125)</f>
        <v>0.10591269930838799</v>
      </c>
    </row>
    <row r="126" spans="10:11" x14ac:dyDescent="0.25">
      <c r="J126" s="144">
        <v>7.65</v>
      </c>
      <c r="K126" s="141">
        <f>_xll.SRS1Splines.Functions25.Cubic_Spline($H$10:$H$18,$G$10:$G$18,J126)</f>
        <v>0.107059873801414</v>
      </c>
    </row>
    <row r="127" spans="10:11" x14ac:dyDescent="0.25">
      <c r="J127" s="144">
        <v>7.9</v>
      </c>
      <c r="K127" s="141">
        <f>_xll.SRS1Splines.Functions25.Cubic_Spline($H$10:$H$18,$G$10:$G$18,J127)</f>
        <v>0.10761082282390801</v>
      </c>
    </row>
    <row r="128" spans="10:11" x14ac:dyDescent="0.25">
      <c r="J128" s="144">
        <v>8.4</v>
      </c>
      <c r="K128" s="141">
        <f>_xll.SRS1Splines.Functions25.Cubic_Spline($H$10:$H$18,$G$10:$G$18,J128)</f>
        <v>0.10849313250206701</v>
      </c>
    </row>
    <row r="129" spans="10:11" x14ac:dyDescent="0.25">
      <c r="J129" s="144">
        <v>8.65</v>
      </c>
      <c r="K129" s="141">
        <f>_xll.SRS1Splines.Functions25.Cubic_Spline($H$10:$H$18,$G$10:$G$18,J129)</f>
        <v>0.108831591619434</v>
      </c>
    </row>
    <row r="130" spans="10:11" x14ac:dyDescent="0.25">
      <c r="J130" s="144">
        <v>9.8166666666666664</v>
      </c>
      <c r="K130" s="141">
        <f>_xll.SRS1Splines.Functions25.Cubic_Spline($H$10:$H$18,$G$10:$G$18,J130)</f>
        <v>0.10979071637453799</v>
      </c>
    </row>
    <row r="131" spans="10:11" x14ac:dyDescent="0.25">
      <c r="J131" s="144">
        <v>10.694444444444445</v>
      </c>
      <c r="K131" s="141">
        <f>_xll.SRS1Splines.Functions25.Cubic_Spline($H$10:$H$18,$G$10:$G$18,J131)</f>
        <v>0.110183508677714</v>
      </c>
    </row>
    <row r="132" spans="10:11" x14ac:dyDescent="0.25">
      <c r="J132" s="144">
        <v>12.816666666666666</v>
      </c>
      <c r="K132" s="141">
        <f>_xll.SRS1Splines.Functions25.Cubic_Spline($H$10:$H$18,$G$10:$G$18,J132)</f>
        <v>0.11075090532596001</v>
      </c>
    </row>
    <row r="133" spans="10:11" x14ac:dyDescent="0.25">
      <c r="J133" s="144">
        <v>14.194444444444445</v>
      </c>
      <c r="K133" s="141">
        <f>_xll.SRS1Splines.Functions25.Cubic_Spline($H$10:$H$18,$G$10:$G$18,J133)</f>
        <v>0.11103774041797899</v>
      </c>
    </row>
    <row r="134" spans="10:11" x14ac:dyDescent="0.25">
      <c r="J134" s="144">
        <v>16.611111111111111</v>
      </c>
      <c r="K134" s="141">
        <f>_xll.SRS1Splines.Functions25.Cubic_Spline($H$10:$H$18,$G$10:$G$18,J134)</f>
        <v>0.111861820011565</v>
      </c>
    </row>
    <row r="135" spans="10:11" x14ac:dyDescent="0.25">
      <c r="J135" s="144">
        <v>17.194444444444443</v>
      </c>
      <c r="K135" s="141">
        <f>_xll.SRS1Splines.Functions25.Cubic_Spline($H$10:$H$18,$G$10:$G$18,J135)</f>
        <v>0.11213555307850701</v>
      </c>
    </row>
    <row r="136" spans="10:11" x14ac:dyDescent="0.25">
      <c r="J136" s="144">
        <v>17.611111111111111</v>
      </c>
      <c r="K136" s="141">
        <f>_xll.SRS1Splines.Functions25.Cubic_Spline($H$10:$H$18,$G$10:$G$18,J136)</f>
        <v>0.112344107506525</v>
      </c>
    </row>
    <row r="137" spans="10:11" x14ac:dyDescent="0.25">
      <c r="J137" s="144">
        <v>18.361111111111111</v>
      </c>
      <c r="K137" s="141">
        <f>_xll.SRS1Splines.Functions25.Cubic_Spline($H$10:$H$18,$G$10:$G$18,J137)</f>
        <v>0.112741290965022</v>
      </c>
    </row>
    <row r="138" spans="10:11" x14ac:dyDescent="0.25">
      <c r="J138" s="140">
        <v>0.25</v>
      </c>
      <c r="K138" s="141">
        <f>_xll.SRS1Splines.Functions25.Cubic_Spline($H$10:$H$18,$G$10:$G$18,J138)</f>
        <v>8.3560474057780998E-2</v>
      </c>
    </row>
    <row r="139" spans="10:11" x14ac:dyDescent="0.25">
      <c r="J139" s="140">
        <v>0.33</v>
      </c>
      <c r="K139" s="141">
        <f>_xll.SRS1Splines.Functions25.Cubic_Spline($H$10:$H$18,$G$10:$G$18,J139)</f>
        <v>8.3464065730040907E-2</v>
      </c>
    </row>
    <row r="140" spans="10:11" x14ac:dyDescent="0.25">
      <c r="J140" s="140">
        <v>1</v>
      </c>
      <c r="K140" s="141">
        <f>_xll.SRS1Splines.Functions25.Cubic_Spline($H$10:$H$18,$G$10:$G$18,J140)</f>
        <v>8.4732420634920702E-2</v>
      </c>
    </row>
  </sheetData>
  <mergeCells count="8">
    <mergeCell ref="A10:A19"/>
    <mergeCell ref="A3:E3"/>
    <mergeCell ref="A1:F1"/>
    <mergeCell ref="A5:B6"/>
    <mergeCell ref="C5:C6"/>
    <mergeCell ref="D5:D6"/>
    <mergeCell ref="A7:A9"/>
    <mergeCell ref="A2:E2"/>
  </mergeCells>
  <pageMargins left="0.39" right="0.24" top="0.65" bottom="0.26" header="0.51181102362204722" footer="0.19"/>
  <pageSetup paperSize="9" scale="60" orientation="portrait" r:id="rId1"/>
  <headerFooter alignWithMargins="0">
    <oddHeader xml:space="preserve">&amp;L&amp;"Calibri"&amp;10 [Limited Sharing]&amp;1#_x000D_&amp;"Arial"&amp;10&amp;K000000&amp;"Calibri"&amp;11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CF22-6ADE-4465-A4BE-9D1538B1A278}">
  <dimension ref="A1:Q80"/>
  <sheetViews>
    <sheetView topLeftCell="D54" zoomScale="104" workbookViewId="0">
      <selection activeCell="E23" sqref="E23:E80"/>
    </sheetView>
  </sheetViews>
  <sheetFormatPr defaultRowHeight="13.2" x14ac:dyDescent="0.25"/>
  <cols>
    <col min="1" max="1" width="14.6640625" customWidth="1"/>
    <col min="2" max="2" width="12.77734375" customWidth="1"/>
    <col min="3" max="3" width="14.33203125" customWidth="1"/>
    <col min="4" max="5" width="20.6640625" customWidth="1"/>
    <col min="6" max="6" width="14.88671875" customWidth="1"/>
    <col min="7" max="7" width="12.21875" customWidth="1"/>
    <col min="8" max="8" width="17" style="5" customWidth="1"/>
    <col min="13" max="13" width="16" customWidth="1"/>
    <col min="14" max="14" width="12.21875" customWidth="1"/>
    <col min="15" max="15" width="15.33203125" customWidth="1"/>
  </cols>
  <sheetData>
    <row r="1" spans="1:17" x14ac:dyDescent="0.25">
      <c r="A1" s="91" t="s">
        <v>187</v>
      </c>
      <c r="M1" s="3"/>
      <c r="N1" s="3"/>
    </row>
    <row r="3" spans="1:17" x14ac:dyDescent="0.25">
      <c r="A3" s="3" t="s">
        <v>84</v>
      </c>
      <c r="B3" s="89" t="s">
        <v>83</v>
      </c>
      <c r="C3" s="89" t="s">
        <v>62</v>
      </c>
      <c r="D3" s="89" t="s">
        <v>82</v>
      </c>
      <c r="E3" s="115" t="s">
        <v>81</v>
      </c>
      <c r="F3" s="115" t="s">
        <v>80</v>
      </c>
      <c r="G3" s="115" t="s">
        <v>79</v>
      </c>
      <c r="H3" s="137" t="s">
        <v>78</v>
      </c>
      <c r="I3" s="115" t="s">
        <v>77</v>
      </c>
      <c r="J3" s="115" t="s">
        <v>132</v>
      </c>
      <c r="K3" s="115"/>
      <c r="L3" s="115" t="s">
        <v>76</v>
      </c>
      <c r="O3" s="92" t="s">
        <v>188</v>
      </c>
      <c r="P3" s="92" t="s">
        <v>189</v>
      </c>
      <c r="Q3" s="89" t="s">
        <v>55</v>
      </c>
    </row>
    <row r="4" spans="1:17" x14ac:dyDescent="0.25">
      <c r="A4" s="9">
        <v>46133</v>
      </c>
      <c r="B4" t="s">
        <v>74</v>
      </c>
      <c r="C4" s="2">
        <v>46874</v>
      </c>
      <c r="D4">
        <v>2.0299999999999998</v>
      </c>
      <c r="E4" s="7">
        <v>45256564</v>
      </c>
      <c r="F4" s="6">
        <v>9.0999999999999998E-2</v>
      </c>
      <c r="G4">
        <f t="shared" ref="G4:G13" si="0">PRICE($A$4,C4,0,F4,1,2,1)</f>
        <v>0.83490339111166634</v>
      </c>
      <c r="H4" s="5">
        <f t="shared" ref="H4:H13" si="1">G4*E4</f>
        <v>37784858.753662162</v>
      </c>
      <c r="I4" s="4">
        <v>0.11698787819185538</v>
      </c>
      <c r="J4">
        <f t="shared" ref="J4:J13" si="2">DURATION($A$4,C4,0,F4,2,1)</f>
        <v>2.027624309392265</v>
      </c>
      <c r="L4">
        <f t="shared" ref="L4:L13" si="3">MDURATION($A$4,C4,0,F4,2,1)</f>
        <v>1.9393824097486989</v>
      </c>
      <c r="N4" s="92" t="s">
        <v>83</v>
      </c>
      <c r="O4" s="93">
        <v>324426956.01452482</v>
      </c>
      <c r="P4" s="66">
        <v>5.5895542817106669</v>
      </c>
      <c r="Q4" s="66">
        <f>J14</f>
        <v>5.8828841692607616</v>
      </c>
    </row>
    <row r="5" spans="1:17" x14ac:dyDescent="0.25">
      <c r="B5" t="s">
        <v>73</v>
      </c>
      <c r="C5" s="2">
        <v>47239</v>
      </c>
      <c r="D5">
        <v>3.03</v>
      </c>
      <c r="E5" s="7">
        <v>61203541</v>
      </c>
      <c r="F5" s="6">
        <v>9.7000000000000003E-2</v>
      </c>
      <c r="G5">
        <f t="shared" si="0"/>
        <v>0.7506768338242773</v>
      </c>
      <c r="H5" s="5">
        <f t="shared" si="1"/>
        <v>45944080.376714341</v>
      </c>
      <c r="I5" s="4">
        <v>0.14177880844605481</v>
      </c>
      <c r="J5">
        <f t="shared" si="2"/>
        <v>3.027624309392265</v>
      </c>
      <c r="L5">
        <f t="shared" si="3"/>
        <v>2.8875768329921461</v>
      </c>
      <c r="N5" s="92" t="s">
        <v>190</v>
      </c>
      <c r="O5" s="93">
        <f>E80</f>
        <v>324426956.01455468</v>
      </c>
      <c r="P5" s="66">
        <f>L80</f>
        <v>5.3794440860631916</v>
      </c>
      <c r="Q5" s="66">
        <f>J80</f>
        <v>5.8828839999980804</v>
      </c>
    </row>
    <row r="6" spans="1:17" x14ac:dyDescent="0.25">
      <c r="B6" t="s">
        <v>72</v>
      </c>
      <c r="C6" s="2">
        <v>47665</v>
      </c>
      <c r="D6" s="8">
        <v>4.2</v>
      </c>
      <c r="E6" s="7">
        <v>87456123</v>
      </c>
      <c r="F6" s="6">
        <v>9.9299999999999999E-2</v>
      </c>
      <c r="G6">
        <f t="shared" si="0"/>
        <v>0.66586914384073692</v>
      </c>
      <c r="H6" s="5">
        <f t="shared" si="1"/>
        <v>58234333.745640181</v>
      </c>
      <c r="I6" s="4">
        <v>0.17936455170313179</v>
      </c>
      <c r="J6">
        <f t="shared" si="2"/>
        <v>4.1961325966850822</v>
      </c>
      <c r="L6">
        <f t="shared" si="3"/>
        <v>3.9976493085172033</v>
      </c>
    </row>
    <row r="7" spans="1:17" x14ac:dyDescent="0.25">
      <c r="B7" t="s">
        <v>71</v>
      </c>
      <c r="C7" s="2">
        <v>47983</v>
      </c>
      <c r="D7">
        <v>5.07</v>
      </c>
      <c r="E7" s="7">
        <v>62235132</v>
      </c>
      <c r="F7" s="6">
        <v>0.10050000000000001</v>
      </c>
      <c r="G7">
        <f t="shared" si="0"/>
        <v>0.60848483330582936</v>
      </c>
      <c r="H7" s="5">
        <f t="shared" si="1"/>
        <v>37869133.920786284</v>
      </c>
      <c r="I7" s="4">
        <v>0.11680728263070624</v>
      </c>
      <c r="J7">
        <f t="shared" si="2"/>
        <v>5.0662983425414376</v>
      </c>
      <c r="L7">
        <f t="shared" si="3"/>
        <v>4.8238974934933951</v>
      </c>
    </row>
    <row r="8" spans="1:17" x14ac:dyDescent="0.25">
      <c r="B8" t="s">
        <v>70</v>
      </c>
      <c r="C8" s="2">
        <v>48396</v>
      </c>
      <c r="D8" s="8">
        <v>6.2</v>
      </c>
      <c r="E8" s="7">
        <v>29568423</v>
      </c>
      <c r="F8" s="6">
        <v>0.1031</v>
      </c>
      <c r="G8">
        <f t="shared" si="0"/>
        <v>0.5363863860504875</v>
      </c>
      <c r="H8" s="5">
        <f t="shared" si="1"/>
        <v>15860099.554182114</v>
      </c>
      <c r="I8" s="4">
        <v>4.8161967239126663E-2</v>
      </c>
      <c r="J8">
        <f t="shared" si="2"/>
        <v>6.196132596685084</v>
      </c>
      <c r="L8">
        <f t="shared" si="3"/>
        <v>5.8923803876991911</v>
      </c>
    </row>
    <row r="9" spans="1:17" x14ac:dyDescent="0.25">
      <c r="B9" t="s">
        <v>69</v>
      </c>
      <c r="C9" s="2">
        <v>48731</v>
      </c>
      <c r="D9">
        <v>7.12</v>
      </c>
      <c r="E9" s="7">
        <v>38325789</v>
      </c>
      <c r="F9" s="6">
        <v>0.1057</v>
      </c>
      <c r="G9">
        <f t="shared" si="0"/>
        <v>0.4806515774664023</v>
      </c>
      <c r="H9" s="5">
        <f t="shared" si="1"/>
        <v>18421350.940494489</v>
      </c>
      <c r="I9" s="4">
        <v>5.6551280358334503E-2</v>
      </c>
      <c r="J9">
        <f t="shared" si="2"/>
        <v>7.1126373626373613</v>
      </c>
      <c r="L9">
        <f t="shared" si="3"/>
        <v>6.7556037067363448</v>
      </c>
    </row>
    <row r="10" spans="1:17" x14ac:dyDescent="0.25">
      <c r="B10" t="s">
        <v>68</v>
      </c>
      <c r="C10" s="2">
        <v>49202</v>
      </c>
      <c r="D10" s="8">
        <v>8.41</v>
      </c>
      <c r="E10" s="7">
        <v>97235165</v>
      </c>
      <c r="F10" s="6">
        <v>0.1085</v>
      </c>
      <c r="G10">
        <f t="shared" si="0"/>
        <v>0.41169187496298187</v>
      </c>
      <c r="H10" s="5">
        <f t="shared" si="1"/>
        <v>40030927.391184911</v>
      </c>
      <c r="I10" s="4">
        <v>0.12364384548493533</v>
      </c>
      <c r="J10">
        <f t="shared" si="2"/>
        <v>8.3994565217391308</v>
      </c>
      <c r="L10">
        <f t="shared" si="3"/>
        <v>7.9672340732645308</v>
      </c>
    </row>
    <row r="11" spans="1:17" x14ac:dyDescent="0.25">
      <c r="B11" t="s">
        <v>67</v>
      </c>
      <c r="C11" s="2">
        <v>49475</v>
      </c>
      <c r="D11">
        <v>9.16</v>
      </c>
      <c r="E11" s="7">
        <v>89456789</v>
      </c>
      <c r="F11" s="6">
        <v>0.1094</v>
      </c>
      <c r="G11">
        <f t="shared" si="0"/>
        <v>0.37730230219921324</v>
      </c>
      <c r="H11" s="5">
        <f t="shared" si="1"/>
        <v>33752252.437049255</v>
      </c>
      <c r="I11" s="4">
        <v>0.10396997398354665</v>
      </c>
      <c r="J11">
        <f t="shared" si="2"/>
        <v>9.1510989010989015</v>
      </c>
      <c r="L11">
        <f t="shared" si="3"/>
        <v>8.676494644068363</v>
      </c>
    </row>
    <row r="12" spans="1:17" x14ac:dyDescent="0.25">
      <c r="B12" t="s">
        <v>66</v>
      </c>
      <c r="C12" s="2">
        <v>49902</v>
      </c>
      <c r="D12" s="8">
        <v>10.33</v>
      </c>
      <c r="E12" s="7">
        <v>90125478</v>
      </c>
      <c r="F12" s="6">
        <v>0.11</v>
      </c>
      <c r="G12">
        <f t="shared" si="0"/>
        <v>0.33116823885404484</v>
      </c>
      <c r="H12" s="5">
        <f t="shared" si="1"/>
        <v>29846695.825138964</v>
      </c>
      <c r="I12" s="4">
        <v>9.2282565886567747E-2</v>
      </c>
      <c r="J12">
        <f t="shared" si="2"/>
        <v>10.320441988950277</v>
      </c>
      <c r="L12">
        <f t="shared" si="3"/>
        <v>9.7824094681993152</v>
      </c>
    </row>
    <row r="13" spans="1:17" x14ac:dyDescent="0.25">
      <c r="B13" t="s">
        <v>65</v>
      </c>
      <c r="C13" s="2">
        <v>50222</v>
      </c>
      <c r="D13" s="8">
        <v>11.2</v>
      </c>
      <c r="E13" s="7">
        <v>22258946</v>
      </c>
      <c r="F13" s="6">
        <v>0.1104</v>
      </c>
      <c r="G13">
        <f t="shared" si="0"/>
        <v>0.30024885588347716</v>
      </c>
      <c r="H13" s="5">
        <f t="shared" si="1"/>
        <v>6683223.0696721002</v>
      </c>
      <c r="I13" s="4">
        <v>2.0451846075740816E-2</v>
      </c>
      <c r="J13">
        <f t="shared" si="2"/>
        <v>11.19613259668508</v>
      </c>
      <c r="L13">
        <f t="shared" si="3"/>
        <v>10.610436501786468</v>
      </c>
    </row>
    <row r="14" spans="1:17" x14ac:dyDescent="0.25">
      <c r="G14" s="3" t="s">
        <v>64</v>
      </c>
      <c r="H14" s="68">
        <f>SUM(H4:H13)</f>
        <v>324426956.01452482</v>
      </c>
      <c r="I14" s="113">
        <f>H14/$H$14</f>
        <v>1</v>
      </c>
      <c r="J14" s="66">
        <f>SUMPRODUCT(I4:I13,J4:J13)</f>
        <v>5.8828841692607616</v>
      </c>
      <c r="K14" s="66"/>
      <c r="L14" s="66">
        <f>SUMPRODUCT(I4:I13,L4:L13)</f>
        <v>5.5895542817106669</v>
      </c>
    </row>
    <row r="20" spans="2:15" x14ac:dyDescent="0.25">
      <c r="M20" s="3"/>
    </row>
    <row r="21" spans="2:15" x14ac:dyDescent="0.25">
      <c r="M21" s="4"/>
      <c r="O21" s="4"/>
    </row>
    <row r="22" spans="2:15" x14ac:dyDescent="0.25">
      <c r="B22" s="115" t="s">
        <v>63</v>
      </c>
      <c r="C22" s="115" t="s">
        <v>62</v>
      </c>
      <c r="D22" s="115" t="s">
        <v>61</v>
      </c>
      <c r="E22" s="115" t="s">
        <v>60</v>
      </c>
      <c r="F22" s="115" t="s">
        <v>59</v>
      </c>
      <c r="G22" s="115" t="s">
        <v>58</v>
      </c>
      <c r="H22" s="124" t="s">
        <v>57</v>
      </c>
      <c r="I22" s="115" t="s">
        <v>56</v>
      </c>
      <c r="J22" s="115" t="s">
        <v>55</v>
      </c>
      <c r="K22" s="115"/>
      <c r="L22" s="115" t="s">
        <v>76</v>
      </c>
      <c r="M22" s="4"/>
      <c r="N22" s="145"/>
      <c r="O22" s="4"/>
    </row>
    <row r="23" spans="2:15" x14ac:dyDescent="0.25">
      <c r="B23" s="127" t="s">
        <v>195</v>
      </c>
      <c r="C23" s="128">
        <v>46224</v>
      </c>
      <c r="D23" s="129">
        <v>0.25</v>
      </c>
      <c r="E23" s="130">
        <f>I23*$H$14</f>
        <v>55037.736109450438</v>
      </c>
      <c r="F23" s="131">
        <v>8.3560474057780998E-2</v>
      </c>
      <c r="G23" s="132">
        <v>0</v>
      </c>
      <c r="H23" s="133">
        <f>TBILLPRICE($A$4,C23,F23)</f>
        <v>97.887776905761655</v>
      </c>
      <c r="I23" s="134">
        <v>1.6964600224830381E-4</v>
      </c>
      <c r="J23" s="135">
        <f>DURATION($A$4,C23,G23,F23,1,1)</f>
        <v>0.24931506849315066</v>
      </c>
      <c r="K23" s="135"/>
      <c r="L23" s="129">
        <f>MDURATION($A$4,C23,G23,F23,1,1)</f>
        <v>0.23008874397153023</v>
      </c>
      <c r="M23" s="4"/>
      <c r="N23" s="145"/>
      <c r="O23" s="4"/>
    </row>
    <row r="24" spans="2:15" x14ac:dyDescent="0.25">
      <c r="B24" s="127" t="s">
        <v>196</v>
      </c>
      <c r="C24" s="128">
        <v>46316</v>
      </c>
      <c r="D24" s="129">
        <v>0.33</v>
      </c>
      <c r="E24" s="130">
        <f t="shared" ref="E24:E25" si="4">I24*$H$14</f>
        <v>54044.557609324736</v>
      </c>
      <c r="F24" s="131">
        <v>8.3464065730040907E-2</v>
      </c>
      <c r="G24" s="132">
        <v>0</v>
      </c>
      <c r="H24" s="133">
        <f t="shared" ref="H24:H25" si="5">TBILLPRICE($A$4,C24,F24)</f>
        <v>95.757243325389581</v>
      </c>
      <c r="I24" s="134">
        <v>1.6658467062430265E-4</v>
      </c>
      <c r="J24" s="135">
        <f t="shared" ref="J24:J25" si="6">DURATION($A$4,C24,G24,F24,1,1)</f>
        <v>0.50136986301369868</v>
      </c>
      <c r="K24" s="135"/>
      <c r="L24" s="129">
        <f t="shared" ref="L24:L79" si="7">MDURATION($A$4,C24,G24,F24,1,1)</f>
        <v>0.46274710797711077</v>
      </c>
      <c r="M24" s="4"/>
      <c r="N24" s="145"/>
      <c r="O24" s="4"/>
    </row>
    <row r="25" spans="2:15" x14ac:dyDescent="0.25">
      <c r="B25" s="127" t="s">
        <v>197</v>
      </c>
      <c r="C25" s="128">
        <v>46498</v>
      </c>
      <c r="D25" s="129">
        <v>1</v>
      </c>
      <c r="E25" s="130">
        <f t="shared" si="4"/>
        <v>52117.571594048975</v>
      </c>
      <c r="F25" s="136">
        <v>8.4732420634920702E-2</v>
      </c>
      <c r="G25" s="132">
        <v>0</v>
      </c>
      <c r="H25" s="133">
        <f t="shared" si="5"/>
        <v>91.40907401895943</v>
      </c>
      <c r="I25" s="134">
        <v>1.6064501000254627E-4</v>
      </c>
      <c r="J25" s="135">
        <f t="shared" si="6"/>
        <v>1</v>
      </c>
      <c r="K25" s="135"/>
      <c r="L25" s="129">
        <f t="shared" si="7"/>
        <v>0.92188633895046235</v>
      </c>
      <c r="M25" s="4"/>
      <c r="N25" s="145"/>
      <c r="O25" s="4"/>
    </row>
    <row r="26" spans="2:15" x14ac:dyDescent="0.25">
      <c r="B26" s="125" t="s">
        <v>53</v>
      </c>
      <c r="C26" s="126">
        <v>46157</v>
      </c>
      <c r="D26" s="125">
        <v>7.0000000000000007E-2</v>
      </c>
      <c r="E26" s="63">
        <f>I26*$H$14</f>
        <v>685042.80234322674</v>
      </c>
      <c r="F26" s="4">
        <v>8.40113958373577E-2</v>
      </c>
      <c r="G26" s="125" t="str">
        <f>LEFT(B26,FIND("%",B26))</f>
        <v>22.50%</v>
      </c>
      <c r="H26" s="7">
        <f t="shared" ref="H26:H57" si="8">PRICE($A$4,C26,G26,F26,100,2,1)</f>
        <v>100.87550281983593</v>
      </c>
      <c r="I26" s="98">
        <v>2.1115471129734267E-3</v>
      </c>
      <c r="J26">
        <f t="shared" ref="J26:J57" si="9">DURATION($A$4,C26,G26,F26,2,1)</f>
        <v>6.6298342541436503E-2</v>
      </c>
      <c r="L26" s="3">
        <f t="shared" si="7"/>
        <v>6.065750314990203E-2</v>
      </c>
      <c r="M26" s="4"/>
      <c r="N26" s="145"/>
      <c r="O26" s="4"/>
    </row>
    <row r="27" spans="2:15" x14ac:dyDescent="0.25">
      <c r="B27" s="1" t="s">
        <v>52</v>
      </c>
      <c r="C27" s="2">
        <v>46174</v>
      </c>
      <c r="D27" s="1">
        <v>0.11</v>
      </c>
      <c r="E27" s="63">
        <f t="shared" ref="E27:E79" si="10">I27*$H$14</f>
        <v>680588.2759784162</v>
      </c>
      <c r="F27" s="4">
        <v>8.3882039216594304E-2</v>
      </c>
      <c r="G27" s="1" t="str">
        <f t="shared" ref="G27:G79" si="11">LEFT(B27,FIND("%",B27))</f>
        <v>11.00%</v>
      </c>
      <c r="H27" s="7">
        <f t="shared" si="8"/>
        <v>100.25155021572614</v>
      </c>
      <c r="I27" s="98">
        <v>2.0978166683163829E-3</v>
      </c>
      <c r="J27">
        <f t="shared" si="9"/>
        <v>0.11263736263736268</v>
      </c>
      <c r="L27" s="3">
        <f t="shared" si="7"/>
        <v>0.10363560153139589</v>
      </c>
      <c r="M27" s="4"/>
      <c r="N27" s="145"/>
      <c r="O27" s="4"/>
    </row>
    <row r="28" spans="2:15" x14ac:dyDescent="0.25">
      <c r="B28" s="1" t="s">
        <v>51</v>
      </c>
      <c r="C28" s="2">
        <v>46235</v>
      </c>
      <c r="D28" s="1">
        <v>0.28000000000000003</v>
      </c>
      <c r="E28" s="63">
        <f t="shared" si="10"/>
        <v>664347.07196066901</v>
      </c>
      <c r="F28" s="4">
        <v>8.3517115233723904E-2</v>
      </c>
      <c r="G28" s="1" t="str">
        <f t="shared" si="11"/>
        <v>11.50%</v>
      </c>
      <c r="H28" s="7">
        <f t="shared" si="8"/>
        <v>100.80899063840252</v>
      </c>
      <c r="I28" s="98">
        <v>2.0477554643484239E-3</v>
      </c>
      <c r="J28">
        <f t="shared" si="9"/>
        <v>0.28176795580110509</v>
      </c>
      <c r="L28" s="3">
        <f t="shared" si="7"/>
        <v>0.25791198945135285</v>
      </c>
      <c r="M28" s="4"/>
      <c r="N28" s="145"/>
      <c r="O28" s="4"/>
    </row>
    <row r="29" spans="2:15" x14ac:dyDescent="0.25">
      <c r="B29" s="1" t="s">
        <v>50</v>
      </c>
      <c r="C29" s="2">
        <v>46371</v>
      </c>
      <c r="D29" s="1">
        <v>0.65</v>
      </c>
      <c r="E29" s="63">
        <f t="shared" si="10"/>
        <v>631584.52450654644</v>
      </c>
      <c r="F29" s="4">
        <v>8.3649056659922699E-2</v>
      </c>
      <c r="G29" s="1" t="str">
        <f t="shared" si="11"/>
        <v>11.25%</v>
      </c>
      <c r="H29" s="7">
        <f t="shared" si="8"/>
        <v>101.76766234625684</v>
      </c>
      <c r="I29" s="98">
        <v>1.9467695664544902E-3</v>
      </c>
      <c r="J29">
        <f t="shared" si="9"/>
        <v>0.62481622114802982</v>
      </c>
      <c r="L29" s="3">
        <f t="shared" si="7"/>
        <v>0.60172136958282774</v>
      </c>
      <c r="M29" s="4"/>
      <c r="N29" s="145"/>
      <c r="O29" s="4"/>
    </row>
    <row r="30" spans="2:15" x14ac:dyDescent="0.25">
      <c r="B30" s="1" t="s">
        <v>49</v>
      </c>
      <c r="C30" s="2">
        <v>46402</v>
      </c>
      <c r="D30" s="1">
        <v>0.74</v>
      </c>
      <c r="E30" s="63">
        <f t="shared" si="10"/>
        <v>623631.50305271603</v>
      </c>
      <c r="F30" s="4">
        <v>8.3848687277853801E-2</v>
      </c>
      <c r="G30" s="1" t="str">
        <f t="shared" si="11"/>
        <v>11.40%</v>
      </c>
      <c r="H30" s="7">
        <f t="shared" si="8"/>
        <v>102.07699064470017</v>
      </c>
      <c r="I30" s="98">
        <v>1.9222555077229638E-3</v>
      </c>
      <c r="J30">
        <f t="shared" si="9"/>
        <v>0.70820763476660742</v>
      </c>
      <c r="L30" s="3">
        <f t="shared" si="7"/>
        <v>0.67997157723265322</v>
      </c>
      <c r="M30" s="4"/>
      <c r="N30" s="145"/>
      <c r="O30" s="4"/>
    </row>
    <row r="31" spans="2:15" x14ac:dyDescent="0.25">
      <c r="B31" s="1" t="s">
        <v>48</v>
      </c>
      <c r="C31" s="2">
        <v>46508</v>
      </c>
      <c r="D31" s="1">
        <v>1.03</v>
      </c>
      <c r="E31" s="63">
        <f t="shared" si="10"/>
        <v>603869.01496779872</v>
      </c>
      <c r="F31" s="4">
        <v>8.4860652826682897E-2</v>
      </c>
      <c r="G31" s="1" t="str">
        <f t="shared" si="11"/>
        <v>18.00%</v>
      </c>
      <c r="H31" s="7">
        <f t="shared" si="8"/>
        <v>109.16771716971725</v>
      </c>
      <c r="I31" s="98">
        <v>1.8613404458930442E-3</v>
      </c>
      <c r="J31">
        <f t="shared" si="9"/>
        <v>0.91471326354634996</v>
      </c>
      <c r="L31" s="3">
        <f t="shared" si="7"/>
        <v>0.81614862293180224</v>
      </c>
      <c r="M31" s="4"/>
      <c r="N31" s="145"/>
      <c r="O31" s="4"/>
    </row>
    <row r="32" spans="2:15" x14ac:dyDescent="0.25">
      <c r="B32" s="1" t="s">
        <v>47</v>
      </c>
      <c r="C32" s="2">
        <v>46553</v>
      </c>
      <c r="D32" s="1">
        <v>1.1499999999999999</v>
      </c>
      <c r="E32" s="63">
        <f t="shared" si="10"/>
        <v>589017.28103102033</v>
      </c>
      <c r="F32" s="4">
        <v>8.5421021462811497E-2</v>
      </c>
      <c r="G32" s="1" t="str">
        <f t="shared" si="11"/>
        <v>11.75%</v>
      </c>
      <c r="H32" s="7">
        <f t="shared" si="8"/>
        <v>103.42132234216815</v>
      </c>
      <c r="I32" s="98">
        <v>1.8155620860451855E-3</v>
      </c>
      <c r="J32">
        <f t="shared" si="9"/>
        <v>1.0712724944872862</v>
      </c>
      <c r="L32" s="3">
        <f t="shared" si="7"/>
        <v>0.9657530297027761</v>
      </c>
      <c r="M32" s="4"/>
      <c r="N32" s="145"/>
      <c r="O32" s="4"/>
    </row>
    <row r="33" spans="2:15" x14ac:dyDescent="0.25">
      <c r="B33" s="1" t="s">
        <v>46</v>
      </c>
      <c r="C33" s="2">
        <v>46614</v>
      </c>
      <c r="D33" s="1">
        <v>1.32</v>
      </c>
      <c r="E33" s="63">
        <f t="shared" si="10"/>
        <v>570725.85350304854</v>
      </c>
      <c r="F33" s="4">
        <v>8.6330065444057594E-2</v>
      </c>
      <c r="G33" s="1" t="str">
        <f t="shared" si="11"/>
        <v>07.80%</v>
      </c>
      <c r="H33" s="7">
        <f t="shared" si="8"/>
        <v>98.962128786302685</v>
      </c>
      <c r="I33" s="98">
        <v>1.7591813593858603E-3</v>
      </c>
      <c r="J33">
        <f t="shared" si="9"/>
        <v>1.2644933472202291</v>
      </c>
      <c r="L33" s="3">
        <f t="shared" si="7"/>
        <v>1.1459994237933115</v>
      </c>
      <c r="M33" s="4"/>
      <c r="N33" s="145"/>
      <c r="O33" s="4"/>
    </row>
    <row r="34" spans="2:15" x14ac:dyDescent="0.25">
      <c r="B34" s="1" t="s">
        <v>45</v>
      </c>
      <c r="C34" s="2">
        <v>46645</v>
      </c>
      <c r="D34" s="1">
        <v>1.4</v>
      </c>
      <c r="E34" s="63">
        <f t="shared" si="10"/>
        <v>569546.85474795382</v>
      </c>
      <c r="F34" s="4">
        <v>8.6797664448706596E-2</v>
      </c>
      <c r="G34" s="1" t="str">
        <f t="shared" si="11"/>
        <v>20.00%</v>
      </c>
      <c r="H34" s="7">
        <f t="shared" si="8"/>
        <v>114.58753375615322</v>
      </c>
      <c r="I34" s="98">
        <v>1.7555472632257317E-3</v>
      </c>
      <c r="J34">
        <f t="shared" si="9"/>
        <v>1.2768270110538886</v>
      </c>
      <c r="L34" s="3">
        <f t="shared" si="7"/>
        <v>1.1496017259586162</v>
      </c>
      <c r="M34" s="4"/>
      <c r="N34" s="145"/>
      <c r="O34" s="4"/>
    </row>
    <row r="35" spans="2:15" x14ac:dyDescent="0.25">
      <c r="B35" s="1" t="s">
        <v>44</v>
      </c>
      <c r="C35" s="2">
        <v>46675</v>
      </c>
      <c r="D35" s="1">
        <v>1.48</v>
      </c>
      <c r="E35" s="63">
        <f t="shared" si="10"/>
        <v>556776.64291515108</v>
      </c>
      <c r="F35" s="4">
        <v>8.7286796443576106E-2</v>
      </c>
      <c r="G35" s="1" t="str">
        <f t="shared" si="11"/>
        <v>10.30%</v>
      </c>
      <c r="H35" s="7">
        <f t="shared" si="8"/>
        <v>102.13962799103653</v>
      </c>
      <c r="I35" s="98">
        <v>1.7161848995378296E-3</v>
      </c>
      <c r="J35">
        <f t="shared" si="9"/>
        <v>1.4121657127072058</v>
      </c>
      <c r="L35" s="3">
        <f t="shared" si="7"/>
        <v>1.2809476853407802</v>
      </c>
      <c r="M35" s="4"/>
      <c r="N35" s="145"/>
      <c r="O35" s="4"/>
    </row>
    <row r="36" spans="2:15" x14ac:dyDescent="0.25">
      <c r="B36" s="1" t="s">
        <v>43</v>
      </c>
      <c r="C36" s="2">
        <v>46736</v>
      </c>
      <c r="D36" s="1">
        <v>1.65</v>
      </c>
      <c r="E36" s="63">
        <f t="shared" si="10"/>
        <v>548545.0513376944</v>
      </c>
      <c r="F36" s="4">
        <v>8.8384590542223404E-2</v>
      </c>
      <c r="G36" s="1" t="str">
        <f t="shared" si="11"/>
        <v>11.25%</v>
      </c>
      <c r="H36" s="7">
        <f t="shared" si="8"/>
        <v>103.60509580952807</v>
      </c>
      <c r="I36" s="98">
        <v>1.6908121879771782E-3</v>
      </c>
      <c r="J36">
        <f t="shared" si="9"/>
        <v>1.5005278411287393</v>
      </c>
      <c r="L36" s="3">
        <f t="shared" si="7"/>
        <v>1.4267988613672578</v>
      </c>
      <c r="M36" s="4"/>
      <c r="N36" s="145"/>
      <c r="O36" s="4"/>
    </row>
    <row r="37" spans="2:15" x14ac:dyDescent="0.25">
      <c r="B37" s="1" t="s">
        <v>42</v>
      </c>
      <c r="C37" s="2">
        <v>46767</v>
      </c>
      <c r="D37" s="1">
        <v>1.74</v>
      </c>
      <c r="E37" s="63">
        <f t="shared" si="10"/>
        <v>546848.32828687131</v>
      </c>
      <c r="F37" s="4">
        <v>8.89904881240796E-2</v>
      </c>
      <c r="G37" s="1" t="str">
        <f t="shared" si="11"/>
        <v>18.00%</v>
      </c>
      <c r="H37" s="7">
        <f t="shared" si="8"/>
        <v>114.28837559304687</v>
      </c>
      <c r="I37" s="98">
        <v>1.685582280229478E-3</v>
      </c>
      <c r="J37">
        <f t="shared" si="9"/>
        <v>1.51886561426989</v>
      </c>
      <c r="L37" s="3">
        <f t="shared" si="7"/>
        <v>1.4642304602153411</v>
      </c>
      <c r="M37" s="4"/>
      <c r="N37" s="145"/>
      <c r="O37" s="4"/>
    </row>
    <row r="38" spans="2:15" x14ac:dyDescent="0.25">
      <c r="B38" s="1" t="s">
        <v>41</v>
      </c>
      <c r="C38" s="2">
        <v>46798</v>
      </c>
      <c r="D38" s="1">
        <v>1.82</v>
      </c>
      <c r="E38" s="63">
        <f t="shared" si="10"/>
        <v>532102.96958886052</v>
      </c>
      <c r="F38" s="4">
        <v>8.95391050044331E-2</v>
      </c>
      <c r="G38" s="1" t="str">
        <f t="shared" si="11"/>
        <v>10.75%</v>
      </c>
      <c r="H38" s="7">
        <f t="shared" si="8"/>
        <v>102.92957789822663</v>
      </c>
      <c r="I38" s="98">
        <v>1.6401318069422007E-3</v>
      </c>
      <c r="J38">
        <f t="shared" si="9"/>
        <v>1.6751471751839209</v>
      </c>
      <c r="L38" s="3">
        <f t="shared" si="7"/>
        <v>1.5844093546185438</v>
      </c>
      <c r="M38" s="4"/>
      <c r="N38" s="145"/>
      <c r="O38" s="4"/>
    </row>
    <row r="39" spans="2:15" x14ac:dyDescent="0.25">
      <c r="B39" s="1" t="s">
        <v>40</v>
      </c>
      <c r="C39" s="2">
        <v>46827</v>
      </c>
      <c r="D39" s="1">
        <v>1.9</v>
      </c>
      <c r="E39" s="63">
        <f t="shared" si="10"/>
        <v>524682.3972004744</v>
      </c>
      <c r="F39" s="4">
        <v>9.00941817818528E-2</v>
      </c>
      <c r="G39" s="1" t="str">
        <f t="shared" si="11"/>
        <v>10.75%</v>
      </c>
      <c r="H39" s="7">
        <f t="shared" si="8"/>
        <v>102.95875313607972</v>
      </c>
      <c r="I39" s="98">
        <v>1.6172589468089207E-3</v>
      </c>
      <c r="J39">
        <f t="shared" si="9"/>
        <v>1.7540819239807217</v>
      </c>
      <c r="L39" s="3">
        <f t="shared" si="7"/>
        <v>1.653934353323228</v>
      </c>
      <c r="M39" s="4"/>
      <c r="N39" s="145"/>
      <c r="O39" s="4"/>
    </row>
    <row r="40" spans="2:15" x14ac:dyDescent="0.25">
      <c r="B40" s="1" t="s">
        <v>39</v>
      </c>
      <c r="C40" s="2">
        <v>46874</v>
      </c>
      <c r="D40" s="1">
        <v>2.0299999999999998</v>
      </c>
      <c r="E40" s="63">
        <f t="shared" si="10"/>
        <v>518282.55511520093</v>
      </c>
      <c r="F40" s="4">
        <v>9.1002560132757607E-2</v>
      </c>
      <c r="G40" s="1" t="str">
        <f t="shared" si="11"/>
        <v>09.00%</v>
      </c>
      <c r="H40" s="7">
        <f t="shared" si="8"/>
        <v>99.81285107751053</v>
      </c>
      <c r="I40" s="98">
        <v>1.5975323428180149E-3</v>
      </c>
      <c r="J40">
        <f t="shared" si="9"/>
        <v>1.8211267774641942</v>
      </c>
      <c r="L40" s="3">
        <f t="shared" si="7"/>
        <v>1.6371990103777665</v>
      </c>
      <c r="M40" s="4"/>
      <c r="N40" s="145"/>
      <c r="O40" s="4"/>
    </row>
    <row r="41" spans="2:15" x14ac:dyDescent="0.25">
      <c r="B41" s="1" t="s">
        <v>38</v>
      </c>
      <c r="C41" s="2">
        <v>46935</v>
      </c>
      <c r="D41" s="1">
        <v>2.2000000000000002</v>
      </c>
      <c r="E41" s="63">
        <f t="shared" si="10"/>
        <v>502526.57945481216</v>
      </c>
      <c r="F41" s="4">
        <v>9.2184243172472105E-2</v>
      </c>
      <c r="G41" s="1" t="str">
        <f t="shared" si="11"/>
        <v>09.00%</v>
      </c>
      <c r="H41" s="7">
        <f t="shared" si="8"/>
        <v>99.550322230134952</v>
      </c>
      <c r="I41" s="98">
        <v>1.5489667863243573E-3</v>
      </c>
      <c r="J41">
        <f t="shared" si="9"/>
        <v>1.989327908210959</v>
      </c>
      <c r="L41" s="3">
        <f t="shared" si="7"/>
        <v>1.7880995327352827</v>
      </c>
      <c r="M41" s="4"/>
      <c r="N41" s="145"/>
      <c r="O41" s="4"/>
    </row>
    <row r="42" spans="2:15" x14ac:dyDescent="0.25">
      <c r="B42" s="1" t="s">
        <v>37</v>
      </c>
      <c r="C42" s="2">
        <v>46997</v>
      </c>
      <c r="D42" s="1">
        <v>2.37</v>
      </c>
      <c r="E42" s="63">
        <f t="shared" si="10"/>
        <v>491192.91966981738</v>
      </c>
      <c r="F42" s="4">
        <v>9.3333514575865195E-2</v>
      </c>
      <c r="G42" s="1" t="str">
        <f t="shared" si="11"/>
        <v>11.50%</v>
      </c>
      <c r="H42" s="7">
        <f t="shared" si="8"/>
        <v>104.47246624145846</v>
      </c>
      <c r="I42" s="98">
        <v>1.5140323902303183E-3</v>
      </c>
      <c r="J42">
        <f t="shared" si="9"/>
        <v>2.1105816753207232</v>
      </c>
      <c r="L42" s="3">
        <f t="shared" si="7"/>
        <v>1.8966435228506924</v>
      </c>
      <c r="M42" s="4"/>
      <c r="N42" s="145"/>
      <c r="O42" s="4"/>
    </row>
    <row r="43" spans="2:15" x14ac:dyDescent="0.25">
      <c r="B43" s="1" t="s">
        <v>36</v>
      </c>
      <c r="C43" s="2">
        <v>47041</v>
      </c>
      <c r="D43" s="1">
        <v>2.4900000000000002</v>
      </c>
      <c r="E43" s="63">
        <f t="shared" si="10"/>
        <v>479033.62291922525</v>
      </c>
      <c r="F43" s="4">
        <v>9.4110289763709498E-2</v>
      </c>
      <c r="G43" s="1" t="str">
        <f t="shared" si="11"/>
        <v>11.00%</v>
      </c>
      <c r="H43" s="7">
        <f t="shared" si="8"/>
        <v>103.4436658399548</v>
      </c>
      <c r="I43" s="98">
        <v>1.476553085489538E-3</v>
      </c>
      <c r="J43">
        <f t="shared" si="9"/>
        <v>2.2409216164502377</v>
      </c>
      <c r="L43" s="3">
        <f t="shared" si="7"/>
        <v>2.0137029050623525</v>
      </c>
      <c r="M43" s="4"/>
      <c r="N43" s="145"/>
      <c r="O43" s="4"/>
    </row>
    <row r="44" spans="2:15" x14ac:dyDescent="0.25">
      <c r="B44" s="1" t="s">
        <v>35</v>
      </c>
      <c r="C44" s="2">
        <v>47102</v>
      </c>
      <c r="D44" s="1">
        <v>2.65</v>
      </c>
      <c r="E44" s="63">
        <f t="shared" si="10"/>
        <v>475300.1499591592</v>
      </c>
      <c r="F44" s="4">
        <v>9.5082766762326701E-2</v>
      </c>
      <c r="G44" s="1" t="str">
        <f t="shared" si="11"/>
        <v>11.50%</v>
      </c>
      <c r="H44" s="7">
        <f t="shared" si="8"/>
        <v>104.54423176102931</v>
      </c>
      <c r="I44" s="98">
        <v>1.4650451855112794E-3</v>
      </c>
      <c r="J44">
        <f t="shared" si="9"/>
        <v>2.2822890175126878</v>
      </c>
      <c r="L44" s="3">
        <f t="shared" si="7"/>
        <v>2.1557146391288686</v>
      </c>
      <c r="M44" s="4"/>
      <c r="N44" s="145"/>
      <c r="O44" s="4"/>
    </row>
    <row r="45" spans="2:15" x14ac:dyDescent="0.25">
      <c r="B45" s="1" t="s">
        <v>34</v>
      </c>
      <c r="C45" s="2">
        <v>47119</v>
      </c>
      <c r="D45" s="1">
        <v>2.7</v>
      </c>
      <c r="E45" s="63">
        <f t="shared" si="10"/>
        <v>474241.3927991548</v>
      </c>
      <c r="F45" s="4">
        <v>9.5368609514886807E-2</v>
      </c>
      <c r="G45" s="1" t="str">
        <f t="shared" si="11"/>
        <v>13.00%</v>
      </c>
      <c r="H45" s="7">
        <f t="shared" si="8"/>
        <v>108.02976938754009</v>
      </c>
      <c r="I45" s="98">
        <v>1.4617817169850791E-3</v>
      </c>
      <c r="J45">
        <f t="shared" si="9"/>
        <v>2.2937410588216114</v>
      </c>
      <c r="L45" s="3">
        <f t="shared" si="7"/>
        <v>2.1732762759174782</v>
      </c>
      <c r="M45" s="4"/>
      <c r="N45" s="145"/>
      <c r="O45" s="4"/>
    </row>
    <row r="46" spans="2:15" x14ac:dyDescent="0.25">
      <c r="B46" s="1" t="s">
        <v>33</v>
      </c>
      <c r="C46" s="2">
        <v>47239</v>
      </c>
      <c r="D46" s="1">
        <v>3.03</v>
      </c>
      <c r="E46" s="63">
        <f t="shared" si="10"/>
        <v>457008.08374899649</v>
      </c>
      <c r="F46" s="4">
        <v>9.6976289287822398E-2</v>
      </c>
      <c r="G46" s="1" t="str">
        <f t="shared" si="11"/>
        <v>13.00%</v>
      </c>
      <c r="H46" s="7">
        <f t="shared" si="8"/>
        <v>108.4804593626648</v>
      </c>
      <c r="I46" s="98">
        <v>1.4086624902048396E-3</v>
      </c>
      <c r="J46">
        <f t="shared" si="9"/>
        <v>2.4774563722938443</v>
      </c>
      <c r="L46" s="3">
        <f t="shared" si="7"/>
        <v>2.2071631542534513</v>
      </c>
      <c r="M46" s="4"/>
      <c r="N46" s="145"/>
      <c r="O46" s="4"/>
    </row>
    <row r="47" spans="2:15" x14ac:dyDescent="0.25">
      <c r="B47" s="1" t="s">
        <v>32</v>
      </c>
      <c r="C47" s="2">
        <v>47284</v>
      </c>
      <c r="D47" s="1">
        <v>3.15</v>
      </c>
      <c r="E47" s="63">
        <f t="shared" si="10"/>
        <v>442269.14939931512</v>
      </c>
      <c r="F47" s="4">
        <v>9.7421528404809304E-2</v>
      </c>
      <c r="G47" s="1" t="str">
        <f t="shared" si="11"/>
        <v>11.75%</v>
      </c>
      <c r="H47" s="7">
        <f t="shared" si="8"/>
        <v>105.30822189769614</v>
      </c>
      <c r="I47" s="98">
        <v>1.3632318190585694E-3</v>
      </c>
      <c r="J47">
        <f t="shared" si="9"/>
        <v>2.6363957806036837</v>
      </c>
      <c r="L47" s="3">
        <f t="shared" si="7"/>
        <v>2.3526534919378972</v>
      </c>
      <c r="M47" s="4"/>
      <c r="N47" s="145"/>
      <c r="O47" s="4"/>
    </row>
    <row r="48" spans="2:15" x14ac:dyDescent="0.25">
      <c r="B48" s="1" t="s">
        <v>31</v>
      </c>
      <c r="C48" s="2">
        <v>47314</v>
      </c>
      <c r="D48" s="1">
        <v>3.24</v>
      </c>
      <c r="E48" s="63">
        <f t="shared" si="10"/>
        <v>453026.33039290627</v>
      </c>
      <c r="F48" s="4">
        <v>9.7709258127113299E-2</v>
      </c>
      <c r="G48" s="1" t="str">
        <f t="shared" si="11"/>
        <v>20.00%</v>
      </c>
      <c r="H48" s="7">
        <f t="shared" si="8"/>
        <v>127.73755710791752</v>
      </c>
      <c r="I48" s="98">
        <v>1.396389301179474E-3</v>
      </c>
      <c r="J48">
        <f t="shared" si="9"/>
        <v>2.520258994141531</v>
      </c>
      <c r="L48" s="3">
        <f t="shared" si="7"/>
        <v>2.2375744685520269</v>
      </c>
      <c r="M48" s="4"/>
      <c r="N48" s="145"/>
      <c r="O48" s="4"/>
    </row>
    <row r="49" spans="2:15" x14ac:dyDescent="0.25">
      <c r="B49" s="1" t="s">
        <v>30</v>
      </c>
      <c r="C49" s="2">
        <v>47376</v>
      </c>
      <c r="D49" s="1">
        <v>3.41</v>
      </c>
      <c r="E49" s="63">
        <f t="shared" si="10"/>
        <v>868251.08876368625</v>
      </c>
      <c r="F49" s="4">
        <v>9.8159074661940293E-2</v>
      </c>
      <c r="G49" s="1" t="str">
        <f t="shared" si="11"/>
        <v>11.00%</v>
      </c>
      <c r="H49" s="7">
        <f t="shared" si="8"/>
        <v>103.33268386451574</v>
      </c>
      <c r="I49" s="98">
        <v>2.6762606271373271E-3</v>
      </c>
      <c r="J49">
        <f t="shared" si="9"/>
        <v>2.9068751155395609</v>
      </c>
      <c r="L49" s="3">
        <f t="shared" si="7"/>
        <v>2.6019017006105756</v>
      </c>
      <c r="M49" s="4"/>
      <c r="N49" s="145"/>
      <c r="O49" s="4"/>
    </row>
    <row r="50" spans="2:15" x14ac:dyDescent="0.25">
      <c r="B50" s="1" t="s">
        <v>29</v>
      </c>
      <c r="C50" s="2">
        <v>47406</v>
      </c>
      <c r="D50" s="1">
        <v>3.49</v>
      </c>
      <c r="E50" s="63">
        <f t="shared" si="10"/>
        <v>1403638.1509618009</v>
      </c>
      <c r="F50" s="4">
        <v>9.83341851437666E-2</v>
      </c>
      <c r="G50" s="1" t="str">
        <f t="shared" si="11"/>
        <v>10.35%</v>
      </c>
      <c r="H50" s="7">
        <f t="shared" si="8"/>
        <v>101.48926706674334</v>
      </c>
      <c r="I50" s="98">
        <v>4.3265151829706746E-3</v>
      </c>
      <c r="J50">
        <f t="shared" si="9"/>
        <v>3.0113829831104955</v>
      </c>
      <c r="L50" s="3">
        <f t="shared" si="7"/>
        <v>2.696018944552192</v>
      </c>
      <c r="M50" s="4"/>
      <c r="N50" s="145"/>
      <c r="O50" s="4"/>
    </row>
    <row r="51" spans="2:15" x14ac:dyDescent="0.25">
      <c r="B51" s="1" t="s">
        <v>28</v>
      </c>
      <c r="C51" s="2">
        <v>47467</v>
      </c>
      <c r="D51" s="1">
        <v>3.65</v>
      </c>
      <c r="E51" s="63">
        <f t="shared" si="10"/>
        <v>2012937.5703962741</v>
      </c>
      <c r="F51" s="4">
        <v>9.8627666279997694E-2</v>
      </c>
      <c r="G51" s="1" t="str">
        <f t="shared" si="11"/>
        <v>11.00%</v>
      </c>
      <c r="H51" s="7">
        <f t="shared" si="8"/>
        <v>103.38930793356108</v>
      </c>
      <c r="I51" s="98">
        <v>6.2045940791250207E-3</v>
      </c>
      <c r="J51">
        <f t="shared" si="9"/>
        <v>3.0061251809324361</v>
      </c>
      <c r="L51" s="3">
        <f t="shared" si="7"/>
        <v>2.8273355230142565</v>
      </c>
      <c r="M51" s="4"/>
      <c r="N51" s="145"/>
      <c r="O51" s="4"/>
    </row>
    <row r="52" spans="2:15" x14ac:dyDescent="0.25">
      <c r="B52" s="1" t="s">
        <v>27</v>
      </c>
      <c r="C52" s="2">
        <v>47543</v>
      </c>
      <c r="D52" s="1">
        <v>3.86</v>
      </c>
      <c r="E52" s="63">
        <f t="shared" si="10"/>
        <v>3206749.7299059271</v>
      </c>
      <c r="F52" s="4">
        <v>9.8927966720125299E-2</v>
      </c>
      <c r="G52" s="1" t="str">
        <f t="shared" si="11"/>
        <v>09.50%</v>
      </c>
      <c r="H52" s="7">
        <f t="shared" si="8"/>
        <v>98.741343687093448</v>
      </c>
      <c r="I52" s="98">
        <v>9.88435045379632E-3</v>
      </c>
      <c r="J52">
        <f t="shared" si="9"/>
        <v>3.2766597435501348</v>
      </c>
      <c r="L52" s="3">
        <f t="shared" si="7"/>
        <v>3.0628436053070298</v>
      </c>
      <c r="M52" s="4"/>
      <c r="N52" s="145"/>
      <c r="O52" s="4"/>
    </row>
    <row r="53" spans="2:15" x14ac:dyDescent="0.25">
      <c r="B53" s="1" t="s">
        <v>26</v>
      </c>
      <c r="C53" s="2">
        <v>47618</v>
      </c>
      <c r="D53" s="1">
        <v>4.07</v>
      </c>
      <c r="E53" s="63">
        <f t="shared" si="10"/>
        <v>2375795.4094802034</v>
      </c>
      <c r="F53" s="4">
        <v>9.9175489691069402E-2</v>
      </c>
      <c r="G53" s="1" t="str">
        <f t="shared" si="11"/>
        <v>11.00%</v>
      </c>
      <c r="H53" s="7">
        <f t="shared" si="8"/>
        <v>103.53589867148779</v>
      </c>
      <c r="I53" s="98">
        <v>7.3230518162425359E-3</v>
      </c>
      <c r="J53">
        <f t="shared" si="9"/>
        <v>3.2514245324883575</v>
      </c>
      <c r="L53" s="3">
        <f t="shared" si="7"/>
        <v>2.899823929890728</v>
      </c>
      <c r="M53" s="4"/>
      <c r="N53" s="145"/>
      <c r="O53" s="4"/>
    </row>
    <row r="54" spans="2:15" x14ac:dyDescent="0.25">
      <c r="B54" s="1" t="s">
        <v>25</v>
      </c>
      <c r="C54" s="2">
        <v>47665</v>
      </c>
      <c r="D54" s="1">
        <v>4.2</v>
      </c>
      <c r="E54" s="63">
        <f t="shared" si="10"/>
        <v>3248262.7018205146</v>
      </c>
      <c r="F54" s="4">
        <v>9.9319237123677698E-2</v>
      </c>
      <c r="G54" s="1" t="str">
        <f t="shared" si="11"/>
        <v>09.75%</v>
      </c>
      <c r="H54" s="7">
        <f t="shared" si="8"/>
        <v>99.359666023365733</v>
      </c>
      <c r="I54" s="98">
        <v>1.0012308291901268E-2</v>
      </c>
      <c r="J54">
        <f t="shared" si="9"/>
        <v>3.4412956392553506</v>
      </c>
      <c r="L54" s="3">
        <f t="shared" si="7"/>
        <v>3.0733072888311175</v>
      </c>
      <c r="M54" s="4"/>
      <c r="N54" s="145"/>
      <c r="O54" s="4"/>
    </row>
    <row r="55" spans="2:15" x14ac:dyDescent="0.25">
      <c r="B55" s="1" t="s">
        <v>24</v>
      </c>
      <c r="C55" s="2">
        <v>47771</v>
      </c>
      <c r="D55" s="1">
        <v>4.49</v>
      </c>
      <c r="E55" s="63">
        <f t="shared" si="10"/>
        <v>4307772.1810174957</v>
      </c>
      <c r="F55" s="4">
        <v>9.9641466183029798E-2</v>
      </c>
      <c r="G55" s="1" t="str">
        <f t="shared" si="11"/>
        <v>11.00%</v>
      </c>
      <c r="H55" s="7">
        <f t="shared" si="8"/>
        <v>103.66935602889157</v>
      </c>
      <c r="I55" s="98">
        <v>1.3278095735129463E-2</v>
      </c>
      <c r="J55">
        <f t="shared" si="9"/>
        <v>3.6679692349861535</v>
      </c>
      <c r="L55" s="3">
        <f t="shared" si="7"/>
        <v>3.279040725018624</v>
      </c>
      <c r="M55" s="4"/>
      <c r="N55" s="145"/>
      <c r="O55" s="4"/>
    </row>
    <row r="56" spans="2:15" x14ac:dyDescent="0.25">
      <c r="B56" s="1" t="s">
        <v>23</v>
      </c>
      <c r="C56" s="2">
        <v>47922</v>
      </c>
      <c r="D56" s="1">
        <v>4.9000000000000004</v>
      </c>
      <c r="E56" s="63">
        <f t="shared" si="10"/>
        <v>6184158.7047482589</v>
      </c>
      <c r="F56" s="4">
        <v>0.10017900909794999</v>
      </c>
      <c r="G56" s="1" t="str">
        <f t="shared" si="11"/>
        <v>11.25%</v>
      </c>
      <c r="H56" s="7">
        <f t="shared" si="8"/>
        <v>104.65841890707944</v>
      </c>
      <c r="I56" s="98">
        <v>1.9061790612958159E-2</v>
      </c>
      <c r="J56">
        <f t="shared" si="9"/>
        <v>3.8837153772735249</v>
      </c>
      <c r="L56" s="3">
        <f t="shared" si="7"/>
        <v>3.6418256330804395</v>
      </c>
      <c r="M56" s="4"/>
      <c r="N56" s="145"/>
      <c r="O56" s="4"/>
    </row>
    <row r="57" spans="2:15" x14ac:dyDescent="0.25">
      <c r="B57" s="1" t="s">
        <v>22</v>
      </c>
      <c r="C57" s="2">
        <v>47983</v>
      </c>
      <c r="D57" s="1">
        <v>5.07</v>
      </c>
      <c r="E57" s="63">
        <f t="shared" si="10"/>
        <v>3618345.4062458882</v>
      </c>
      <c r="F57" s="4">
        <v>0.100458084506897</v>
      </c>
      <c r="G57" s="1" t="str">
        <f t="shared" si="11"/>
        <v>18.00%</v>
      </c>
      <c r="H57" s="7">
        <f t="shared" si="8"/>
        <v>130.96460129388575</v>
      </c>
      <c r="I57" s="98">
        <v>1.1153035649984313E-2</v>
      </c>
      <c r="J57">
        <f t="shared" si="9"/>
        <v>3.5258148197933914</v>
      </c>
      <c r="L57" s="3">
        <f t="shared" si="7"/>
        <v>3.1351536323982105</v>
      </c>
      <c r="M57" s="4"/>
      <c r="N57" s="145"/>
      <c r="O57" s="4"/>
    </row>
    <row r="58" spans="2:15" x14ac:dyDescent="0.25">
      <c r="B58" s="1" t="s">
        <v>21</v>
      </c>
      <c r="C58" s="2">
        <v>48183</v>
      </c>
      <c r="D58" s="1">
        <v>5.62</v>
      </c>
      <c r="E58" s="63">
        <f t="shared" si="10"/>
        <v>7583678.7463424718</v>
      </c>
      <c r="F58" s="4">
        <v>0.101618467364569</v>
      </c>
      <c r="G58" s="1" t="str">
        <f t="shared" si="11"/>
        <v>12.00%</v>
      </c>
      <c r="H58" s="7">
        <f t="shared" ref="H58:H79" si="12">PRICE($A$4,C58,G58,F58,100,2,1)</f>
        <v>107.69225594169751</v>
      </c>
      <c r="I58" s="98">
        <v>2.3375612308870367E-2</v>
      </c>
      <c r="J58">
        <f t="shared" ref="J58:J79" si="13">DURATION($A$4,C58,G58,F58,2,1)</f>
        <v>4.1222996397186531</v>
      </c>
      <c r="L58" s="3">
        <f t="shared" si="7"/>
        <v>3.8797888734704804</v>
      </c>
      <c r="M58" s="4"/>
      <c r="N58" s="145"/>
      <c r="O58" s="4"/>
    </row>
    <row r="59" spans="2:15" x14ac:dyDescent="0.25">
      <c r="B59" s="1" t="s">
        <v>20</v>
      </c>
      <c r="C59" s="2">
        <v>48214</v>
      </c>
      <c r="D59" s="1">
        <v>5.7</v>
      </c>
      <c r="E59" s="63">
        <f t="shared" si="10"/>
        <v>7534885.8453778429</v>
      </c>
      <c r="F59" s="4">
        <v>0.101813740796484</v>
      </c>
      <c r="G59" s="1" t="str">
        <f t="shared" si="11"/>
        <v>08.00%</v>
      </c>
      <c r="H59" s="7">
        <f t="shared" si="12"/>
        <v>90.720236494636808</v>
      </c>
      <c r="I59" s="98">
        <v>2.3225215123741139E-2</v>
      </c>
      <c r="J59">
        <f t="shared" si="13"/>
        <v>4.5081471177078303</v>
      </c>
      <c r="L59" s="3">
        <f t="shared" si="7"/>
        <v>4.2059259324823115</v>
      </c>
      <c r="M59" s="4"/>
      <c r="N59" s="145"/>
      <c r="O59" s="4"/>
    </row>
    <row r="60" spans="2:15" x14ac:dyDescent="0.25">
      <c r="B60" s="102" t="s">
        <v>19</v>
      </c>
      <c r="C60" s="103">
        <v>48396</v>
      </c>
      <c r="D60" s="102">
        <v>6.2</v>
      </c>
      <c r="E60" s="104">
        <f t="shared" si="10"/>
        <v>3676475.0457142722</v>
      </c>
      <c r="F60" s="105">
        <v>0.103134021658633</v>
      </c>
      <c r="G60" s="102" t="str">
        <f t="shared" si="11"/>
        <v>18.00%</v>
      </c>
      <c r="H60" s="106">
        <f t="shared" si="12"/>
        <v>134.50718713558862</v>
      </c>
      <c r="I60" s="107">
        <v>1.133221200506432E-2</v>
      </c>
      <c r="J60" s="69">
        <f t="shared" si="13"/>
        <v>4.1299083499641025</v>
      </c>
      <c r="K60" s="69"/>
      <c r="L60" s="108">
        <f t="shared" si="7"/>
        <v>3.6706615419265471</v>
      </c>
      <c r="M60" s="4"/>
      <c r="N60" s="145"/>
      <c r="O60" s="4"/>
    </row>
    <row r="61" spans="2:15" x14ac:dyDescent="0.25">
      <c r="B61" s="1" t="s">
        <v>18</v>
      </c>
      <c r="C61" s="2">
        <v>48488</v>
      </c>
      <c r="D61" s="1">
        <v>6.45</v>
      </c>
      <c r="E61" s="63">
        <f t="shared" si="10"/>
        <v>8604428.5577628948</v>
      </c>
      <c r="F61" s="4">
        <v>0.10383446722902399</v>
      </c>
      <c r="G61" s="1" t="str">
        <f t="shared" si="11"/>
        <v>09.00%</v>
      </c>
      <c r="H61" s="7">
        <f t="shared" si="12"/>
        <v>93.603864500494751</v>
      </c>
      <c r="I61" s="98">
        <v>2.6521928582832276E-2</v>
      </c>
      <c r="J61">
        <f t="shared" si="13"/>
        <v>4.9486027806661532</v>
      </c>
      <c r="L61" s="3">
        <f t="shared" si="7"/>
        <v>4.4158451757935069</v>
      </c>
      <c r="M61" s="4"/>
      <c r="N61" s="145"/>
      <c r="O61" s="4"/>
    </row>
    <row r="62" spans="2:15" x14ac:dyDescent="0.25">
      <c r="B62" s="1" t="s">
        <v>17</v>
      </c>
      <c r="C62" s="2">
        <v>48563</v>
      </c>
      <c r="D62" s="1">
        <v>6.66</v>
      </c>
      <c r="E62" s="63">
        <f t="shared" si="10"/>
        <v>9943401.953009462</v>
      </c>
      <c r="F62" s="4">
        <v>0.104429609165249</v>
      </c>
      <c r="G62" s="1" t="str">
        <f t="shared" si="11"/>
        <v>11.50%</v>
      </c>
      <c r="H62" s="7">
        <f t="shared" si="12"/>
        <v>104.94790361364592</v>
      </c>
      <c r="I62" s="98">
        <v>3.0649123843347621E-2</v>
      </c>
      <c r="J62">
        <f t="shared" si="13"/>
        <v>4.6978370531352063</v>
      </c>
      <c r="L62" s="3">
        <f t="shared" si="7"/>
        <v>4.4091678272419594</v>
      </c>
      <c r="M62" s="4"/>
      <c r="N62" s="145"/>
      <c r="O62" s="4"/>
    </row>
    <row r="63" spans="2:15" x14ac:dyDescent="0.25">
      <c r="B63" s="1" t="s">
        <v>16</v>
      </c>
      <c r="C63" s="2">
        <v>48594</v>
      </c>
      <c r="D63" s="1">
        <v>6.74</v>
      </c>
      <c r="E63" s="63">
        <f t="shared" si="10"/>
        <v>10221335.268894564</v>
      </c>
      <c r="F63" s="4">
        <v>0.104656074286491</v>
      </c>
      <c r="G63" s="1" t="str">
        <f t="shared" si="11"/>
        <v>11.20%</v>
      </c>
      <c r="H63" s="7">
        <f t="shared" si="12"/>
        <v>103.45143430458612</v>
      </c>
      <c r="I63" s="98">
        <v>3.1505813803082837E-2</v>
      </c>
      <c r="J63">
        <f t="shared" si="13"/>
        <v>4.8044738453088351</v>
      </c>
      <c r="L63" s="3">
        <f t="shared" si="7"/>
        <v>4.5045044010963915</v>
      </c>
      <c r="M63" s="4"/>
      <c r="N63" s="145"/>
      <c r="O63" s="4"/>
    </row>
    <row r="64" spans="2:15" x14ac:dyDescent="0.25">
      <c r="B64" s="1" t="s">
        <v>15</v>
      </c>
      <c r="C64" s="2">
        <v>48731</v>
      </c>
      <c r="D64" s="1">
        <v>7.12</v>
      </c>
      <c r="E64" s="63">
        <f t="shared" si="10"/>
        <v>9029721.9421526287</v>
      </c>
      <c r="F64" s="4">
        <v>0.105712273681911</v>
      </c>
      <c r="G64" s="1" t="str">
        <f t="shared" si="11"/>
        <v>09.00%</v>
      </c>
      <c r="H64" s="7">
        <f t="shared" si="12"/>
        <v>92.259884687942133</v>
      </c>
      <c r="I64" s="98">
        <v>2.7832835018025946E-2</v>
      </c>
      <c r="J64">
        <f t="shared" si="13"/>
        <v>5.1324525189597976</v>
      </c>
      <c r="L64" s="3">
        <f t="shared" si="7"/>
        <v>4.5685936486371013</v>
      </c>
      <c r="M64" s="4"/>
      <c r="N64" s="145"/>
      <c r="O64" s="4"/>
    </row>
    <row r="65" spans="2:15" x14ac:dyDescent="0.25">
      <c r="B65" s="1" t="s">
        <v>14</v>
      </c>
      <c r="C65" s="2">
        <v>48761</v>
      </c>
      <c r="D65" s="1">
        <v>7.2</v>
      </c>
      <c r="E65" s="63">
        <f t="shared" si="10"/>
        <v>10205384.37841114</v>
      </c>
      <c r="F65" s="4">
        <v>0.105927540480053</v>
      </c>
      <c r="G65" s="1" t="str">
        <f t="shared" si="11"/>
        <v>13.25%</v>
      </c>
      <c r="H65" s="7">
        <f t="shared" si="12"/>
        <v>113.10911669010969</v>
      </c>
      <c r="I65" s="98">
        <v>3.145664744933907E-2</v>
      </c>
      <c r="J65">
        <f t="shared" si="13"/>
        <v>4.834609219000658</v>
      </c>
      <c r="L65" s="3">
        <f t="shared" si="7"/>
        <v>4.2953280265109823</v>
      </c>
      <c r="M65" s="4"/>
      <c r="N65" s="145"/>
      <c r="O65" s="4"/>
    </row>
    <row r="66" spans="2:15" x14ac:dyDescent="0.25">
      <c r="B66" s="1" t="s">
        <v>13</v>
      </c>
      <c r="C66" s="2">
        <v>48884</v>
      </c>
      <c r="D66" s="1">
        <v>7.54</v>
      </c>
      <c r="E66" s="63">
        <f t="shared" si="10"/>
        <v>10415633.452752877</v>
      </c>
      <c r="F66" s="4">
        <v>0.106797756142299</v>
      </c>
      <c r="G66" s="1" t="str">
        <f t="shared" si="11"/>
        <v>09.00%</v>
      </c>
      <c r="H66" s="7">
        <f t="shared" si="12"/>
        <v>91.452285204828812</v>
      </c>
      <c r="I66" s="98">
        <v>3.2104710350537462E-2</v>
      </c>
      <c r="J66">
        <f t="shared" si="13"/>
        <v>5.2825367600428477</v>
      </c>
      <c r="L66" s="3">
        <f t="shared" si="7"/>
        <v>4.9369463774682139</v>
      </c>
      <c r="M66" s="4"/>
      <c r="N66" s="145"/>
      <c r="O66" s="4"/>
    </row>
    <row r="67" spans="2:15" x14ac:dyDescent="0.25">
      <c r="B67" s="1" t="s">
        <v>12</v>
      </c>
      <c r="C67" s="2">
        <v>48945</v>
      </c>
      <c r="D67" s="1">
        <v>7.7</v>
      </c>
      <c r="E67" s="63">
        <f t="shared" si="10"/>
        <v>12660447.319516361</v>
      </c>
      <c r="F67" s="4">
        <v>0.10717527860261</v>
      </c>
      <c r="G67" s="1" t="str">
        <f t="shared" si="11"/>
        <v>13.25%</v>
      </c>
      <c r="H67" s="7">
        <f t="shared" si="12"/>
        <v>113.00767985085287</v>
      </c>
      <c r="I67" s="98">
        <v>3.9024030170136489E-2</v>
      </c>
      <c r="J67">
        <f t="shared" si="13"/>
        <v>5.0423447246536641</v>
      </c>
      <c r="L67" s="3">
        <f t="shared" si="7"/>
        <v>4.738719502512172</v>
      </c>
      <c r="M67" s="4"/>
      <c r="N67" s="145"/>
      <c r="O67" s="4"/>
    </row>
    <row r="68" spans="2:15" x14ac:dyDescent="0.25">
      <c r="B68" s="1" t="s">
        <v>11</v>
      </c>
      <c r="C68" s="2">
        <v>49110</v>
      </c>
      <c r="D68" s="1">
        <v>8.16</v>
      </c>
      <c r="E68" s="63">
        <f t="shared" si="10"/>
        <v>11063246.288774941</v>
      </c>
      <c r="F68" s="4">
        <v>0.10810648562585699</v>
      </c>
      <c r="G68" s="1" t="str">
        <f t="shared" si="11"/>
        <v>10.75%</v>
      </c>
      <c r="H68" s="7">
        <f t="shared" si="12"/>
        <v>99.646882021444938</v>
      </c>
      <c r="I68" s="98">
        <v>3.4100884910067804E-2</v>
      </c>
      <c r="J68">
        <f t="shared" si="13"/>
        <v>5.4232683376626989</v>
      </c>
      <c r="L68" s="3">
        <f t="shared" si="7"/>
        <v>4.8172650249478393</v>
      </c>
      <c r="M68" s="4"/>
      <c r="N68" s="145"/>
      <c r="O68" s="4"/>
    </row>
    <row r="69" spans="2:15" x14ac:dyDescent="0.25">
      <c r="B69" s="1" t="s">
        <v>10</v>
      </c>
      <c r="C69" s="2">
        <v>49202</v>
      </c>
      <c r="D69" s="1">
        <v>8.41</v>
      </c>
      <c r="E69" s="63">
        <f t="shared" si="10"/>
        <v>11774614.601738891</v>
      </c>
      <c r="F69" s="4">
        <v>0.108507876422943</v>
      </c>
      <c r="G69" s="1" t="str">
        <f t="shared" si="11"/>
        <v>10.25%</v>
      </c>
      <c r="H69" s="7">
        <f t="shared" si="12"/>
        <v>96.720871346032908</v>
      </c>
      <c r="I69" s="98">
        <v>3.6293576669417488E-2</v>
      </c>
      <c r="J69">
        <f t="shared" si="13"/>
        <v>5.7218565886631438</v>
      </c>
      <c r="L69" s="3">
        <f t="shared" si="7"/>
        <v>5.0883050915157924</v>
      </c>
      <c r="M69" s="4"/>
      <c r="N69" s="145"/>
      <c r="O69" s="4"/>
    </row>
    <row r="70" spans="2:15" x14ac:dyDescent="0.25">
      <c r="B70" s="102" t="s">
        <v>9</v>
      </c>
      <c r="C70" s="103">
        <v>49383</v>
      </c>
      <c r="D70" s="102">
        <v>8.9</v>
      </c>
      <c r="E70" s="104">
        <f t="shared" si="10"/>
        <v>14629513.262379874</v>
      </c>
      <c r="F70" s="105">
        <v>0.109112790249632</v>
      </c>
      <c r="G70" s="102" t="str">
        <f t="shared" si="11"/>
        <v>11.50%</v>
      </c>
      <c r="H70" s="106">
        <f t="shared" si="12"/>
        <v>103.27500196645778</v>
      </c>
      <c r="I70" s="107">
        <v>4.5093396190311941E-2</v>
      </c>
      <c r="J70" s="69">
        <f t="shared" si="13"/>
        <v>5.7882479428334994</v>
      </c>
      <c r="K70" s="69"/>
      <c r="L70" s="108">
        <f t="shared" si="7"/>
        <v>5.4121654120079423</v>
      </c>
      <c r="M70" s="4"/>
      <c r="N70" s="145"/>
      <c r="O70" s="4"/>
    </row>
    <row r="71" spans="2:15" x14ac:dyDescent="0.25">
      <c r="B71" s="102" t="s">
        <v>8</v>
      </c>
      <c r="C71" s="103">
        <v>49475</v>
      </c>
      <c r="D71" s="102">
        <v>9.16</v>
      </c>
      <c r="E71" s="104">
        <f t="shared" si="10"/>
        <v>12424692.951571211</v>
      </c>
      <c r="F71" s="105">
        <v>0.10935359171900801</v>
      </c>
      <c r="G71" s="102" t="str">
        <f t="shared" si="11"/>
        <v>10.70%</v>
      </c>
      <c r="H71" s="106">
        <f t="shared" si="12"/>
        <v>98.629976594719395</v>
      </c>
      <c r="I71" s="107">
        <v>3.8297350824988009E-2</v>
      </c>
      <c r="J71" s="69">
        <f t="shared" si="13"/>
        <v>5.8147725103998855</v>
      </c>
      <c r="K71" s="69"/>
      <c r="L71" s="108">
        <f t="shared" si="7"/>
        <v>5.1636725240579731</v>
      </c>
      <c r="M71" s="4"/>
      <c r="N71" s="145"/>
      <c r="O71" s="4"/>
    </row>
    <row r="72" spans="2:15" x14ac:dyDescent="0.25">
      <c r="B72" s="102" t="s">
        <v>7</v>
      </c>
      <c r="C72" s="103">
        <v>49902</v>
      </c>
      <c r="D72" s="102">
        <v>10.33</v>
      </c>
      <c r="E72" s="104">
        <f t="shared" si="10"/>
        <v>14467225.333177274</v>
      </c>
      <c r="F72" s="105">
        <v>0.110036392411723</v>
      </c>
      <c r="G72" s="102" t="str">
        <f t="shared" si="11"/>
        <v>10.85%</v>
      </c>
      <c r="H72" s="106">
        <f t="shared" si="12"/>
        <v>99.032623809117865</v>
      </c>
      <c r="I72" s="107">
        <v>4.4593166705079727E-2</v>
      </c>
      <c r="J72" s="69">
        <f t="shared" si="13"/>
        <v>6.3131586513728477</v>
      </c>
      <c r="K72" s="69"/>
      <c r="L72" s="108">
        <f t="shared" si="7"/>
        <v>5.607496714118624</v>
      </c>
      <c r="M72" s="4"/>
      <c r="N72" s="145"/>
      <c r="O72" s="4"/>
    </row>
    <row r="73" spans="2:15" x14ac:dyDescent="0.25">
      <c r="B73" s="102" t="s">
        <v>6</v>
      </c>
      <c r="C73" s="103">
        <v>50222</v>
      </c>
      <c r="D73" s="102">
        <v>11.2</v>
      </c>
      <c r="E73" s="104">
        <f t="shared" si="10"/>
        <v>15061455.826375723</v>
      </c>
      <c r="F73" s="105">
        <v>0.110356501366721</v>
      </c>
      <c r="G73" s="102" t="str">
        <f t="shared" si="11"/>
        <v>10.75%</v>
      </c>
      <c r="H73" s="106">
        <f t="shared" si="12"/>
        <v>98.154626335909143</v>
      </c>
      <c r="I73" s="107">
        <v>4.6424797776980685E-2</v>
      </c>
      <c r="J73" s="69">
        <f t="shared" si="13"/>
        <v>6.5139172524006446</v>
      </c>
      <c r="K73" s="69"/>
      <c r="L73" s="108">
        <f t="shared" si="7"/>
        <v>5.7884060354168483</v>
      </c>
      <c r="M73" s="4"/>
      <c r="N73" s="145"/>
      <c r="O73" s="4"/>
    </row>
    <row r="74" spans="2:15" x14ac:dyDescent="0.25">
      <c r="B74" s="102" t="s">
        <v>5</v>
      </c>
      <c r="C74" s="103">
        <v>50997</v>
      </c>
      <c r="D74" s="102">
        <v>13.33</v>
      </c>
      <c r="E74" s="104">
        <f t="shared" si="10"/>
        <v>16898091.565100215</v>
      </c>
      <c r="F74" s="105">
        <v>0.11085380351278799</v>
      </c>
      <c r="G74" s="102" t="str">
        <f t="shared" si="11"/>
        <v>10.50%</v>
      </c>
      <c r="H74" s="106">
        <f t="shared" si="12"/>
        <v>95.941543666301058</v>
      </c>
      <c r="I74" s="107">
        <v>5.2085966507492296E-2</v>
      </c>
      <c r="J74" s="69">
        <f t="shared" si="13"/>
        <v>7.2020296270092086</v>
      </c>
      <c r="K74" s="69"/>
      <c r="L74" s="108">
        <f t="shared" si="7"/>
        <v>6.4077938221980748</v>
      </c>
      <c r="M74" s="4"/>
      <c r="N74" s="145"/>
      <c r="O74" s="4"/>
    </row>
    <row r="75" spans="2:15" x14ac:dyDescent="0.25">
      <c r="B75" s="147" t="s">
        <v>4</v>
      </c>
      <c r="C75" s="148">
        <v>51502</v>
      </c>
      <c r="D75" s="147">
        <v>14.71</v>
      </c>
      <c r="E75" s="151">
        <f t="shared" si="10"/>
        <v>1460.5455296619361</v>
      </c>
      <c r="F75" s="150">
        <v>0.11116702213679901</v>
      </c>
      <c r="G75" s="147" t="str">
        <f t="shared" si="11"/>
        <v>12.00%</v>
      </c>
      <c r="H75" s="152">
        <f t="shared" si="12"/>
        <v>106.28649132412258</v>
      </c>
      <c r="I75" s="153">
        <v>4.5019240928813155E-6</v>
      </c>
      <c r="J75" s="149">
        <f t="shared" si="13"/>
        <v>7.2089805143172052</v>
      </c>
      <c r="K75" s="149"/>
      <c r="L75" s="154">
        <f t="shared" si="7"/>
        <v>6.7758516496010239</v>
      </c>
      <c r="M75" s="4"/>
      <c r="N75" s="145"/>
      <c r="O75" s="4"/>
    </row>
    <row r="76" spans="2:15" x14ac:dyDescent="0.25">
      <c r="B76" s="102" t="s">
        <v>3</v>
      </c>
      <c r="C76" s="103">
        <v>52383</v>
      </c>
      <c r="D76" s="102">
        <v>17.12</v>
      </c>
      <c r="E76" s="104">
        <f t="shared" si="10"/>
        <v>14643786.984047642</v>
      </c>
      <c r="F76" s="105">
        <v>0.112099366955384</v>
      </c>
      <c r="G76" s="102" t="str">
        <f t="shared" si="11"/>
        <v>09.00%</v>
      </c>
      <c r="H76" s="106">
        <f t="shared" si="12"/>
        <v>83.313502891757295</v>
      </c>
      <c r="I76" s="107">
        <v>4.5137392909459811E-2</v>
      </c>
      <c r="J76" s="69">
        <f t="shared" si="13"/>
        <v>7.9693897562632525</v>
      </c>
      <c r="K76" s="69"/>
      <c r="L76" s="108">
        <f t="shared" si="7"/>
        <v>7.1051762544819397</v>
      </c>
      <c r="M76" s="65"/>
      <c r="N76" s="145"/>
    </row>
    <row r="77" spans="2:15" x14ac:dyDescent="0.25">
      <c r="B77" s="102" t="s">
        <v>2</v>
      </c>
      <c r="C77" s="103">
        <v>52597</v>
      </c>
      <c r="D77" s="102">
        <v>17.71</v>
      </c>
      <c r="E77" s="104">
        <f t="shared" si="10"/>
        <v>15776407.435315449</v>
      </c>
      <c r="F77" s="105">
        <v>0.112394994726186</v>
      </c>
      <c r="G77" s="102" t="str">
        <f t="shared" si="11"/>
        <v>13.50%</v>
      </c>
      <c r="H77" s="106">
        <f t="shared" si="12"/>
        <v>117.1635884218753</v>
      </c>
      <c r="I77" s="107">
        <v>4.8628534537090463E-2</v>
      </c>
      <c r="J77" s="69">
        <f t="shared" si="13"/>
        <v>7.5431144920313065</v>
      </c>
      <c r="K77" s="69"/>
      <c r="L77" s="108">
        <f t="shared" si="7"/>
        <v>7.1014901245950917</v>
      </c>
      <c r="N77" s="145"/>
    </row>
    <row r="78" spans="2:15" x14ac:dyDescent="0.25">
      <c r="B78" s="102" t="s">
        <v>1</v>
      </c>
      <c r="C78" s="103">
        <v>52749</v>
      </c>
      <c r="D78" s="102">
        <v>18.13</v>
      </c>
      <c r="E78" s="104">
        <f t="shared" si="10"/>
        <v>14282801.787564125</v>
      </c>
      <c r="F78" s="105">
        <v>0.112616322642629</v>
      </c>
      <c r="G78" s="102" t="str">
        <f t="shared" si="11"/>
        <v>13.50%</v>
      </c>
      <c r="H78" s="106">
        <f t="shared" si="12"/>
        <v>117.11145295361506</v>
      </c>
      <c r="I78" s="107">
        <v>4.4024707327108399E-2</v>
      </c>
      <c r="J78" s="69">
        <f t="shared" si="13"/>
        <v>7.5253040145101151</v>
      </c>
      <c r="K78" s="69"/>
      <c r="L78" s="108">
        <f t="shared" si="7"/>
        <v>6.7038094164468198</v>
      </c>
      <c r="N78" s="145"/>
    </row>
    <row r="79" spans="2:15" x14ac:dyDescent="0.25">
      <c r="B79" s="75" t="s">
        <v>0</v>
      </c>
      <c r="C79" s="76">
        <v>53022</v>
      </c>
      <c r="D79" s="75">
        <v>18.87</v>
      </c>
      <c r="E79" s="77">
        <f t="shared" si="10"/>
        <v>53520966.759513177</v>
      </c>
      <c r="F79" s="78">
        <v>0.113022826552336</v>
      </c>
      <c r="G79" s="75" t="str">
        <f t="shared" si="11"/>
        <v>12.50%</v>
      </c>
      <c r="H79" s="79">
        <f t="shared" si="12"/>
        <v>109.23060124873358</v>
      </c>
      <c r="I79" s="109">
        <v>0.16497077621724196</v>
      </c>
      <c r="J79" s="80">
        <f t="shared" si="13"/>
        <v>7.9219858432998658</v>
      </c>
      <c r="K79" s="80"/>
      <c r="L79" s="81">
        <f t="shared" si="7"/>
        <v>7.4464425536122958</v>
      </c>
      <c r="N79" s="145"/>
    </row>
    <row r="80" spans="2:15" x14ac:dyDescent="0.25">
      <c r="D80" t="s">
        <v>133</v>
      </c>
      <c r="E80" s="67">
        <f>SUM(E23:E79)</f>
        <v>324426956.01455468</v>
      </c>
      <c r="G80" t="s">
        <v>131</v>
      </c>
      <c r="H80" s="68">
        <f>SUM(H23:H79)</f>
        <v>5922.674022784292</v>
      </c>
      <c r="I80" s="72">
        <f>SUM(I23:I79)</f>
        <v>1.0000000000000919</v>
      </c>
      <c r="J80" s="66">
        <f>SUMPRODUCT(I23:I79,J23:J79)</f>
        <v>5.8828839999980804</v>
      </c>
      <c r="K80" s="66"/>
      <c r="L80" s="100">
        <f>SUMPRODUCT(I23:I79,L23:L79)</f>
        <v>5.3794440860631916</v>
      </c>
      <c r="N80" s="145"/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CFAA-FFCD-41E8-99D7-405586CA4B1D}">
  <dimension ref="A1:N75"/>
  <sheetViews>
    <sheetView workbookViewId="0">
      <selection activeCell="K18" sqref="K18:K75"/>
    </sheetView>
  </sheetViews>
  <sheetFormatPr defaultRowHeight="13.2" x14ac:dyDescent="0.25"/>
  <cols>
    <col min="1" max="1" width="15.33203125" customWidth="1"/>
    <col min="2" max="2" width="13.5546875" customWidth="1"/>
    <col min="3" max="3" width="17.109375" customWidth="1"/>
    <col min="4" max="4" width="12.109375" customWidth="1"/>
    <col min="6" max="7" width="15.109375" bestFit="1" customWidth="1"/>
    <col min="8" max="8" width="12.33203125" customWidth="1"/>
  </cols>
  <sheetData>
    <row r="1" spans="1:14" x14ac:dyDescent="0.25">
      <c r="A1" s="70" t="s">
        <v>83</v>
      </c>
    </row>
    <row r="2" spans="1:14" x14ac:dyDescent="0.25">
      <c r="A2" s="89" t="s">
        <v>84</v>
      </c>
      <c r="B2" s="89" t="s">
        <v>83</v>
      </c>
      <c r="C2" s="89" t="s">
        <v>134</v>
      </c>
      <c r="D2" s="89" t="s">
        <v>85</v>
      </c>
      <c r="E2" s="89" t="s">
        <v>80</v>
      </c>
      <c r="F2" s="89" t="s">
        <v>135</v>
      </c>
      <c r="G2" s="89" t="s">
        <v>136</v>
      </c>
      <c r="H2" s="89" t="s">
        <v>137</v>
      </c>
      <c r="I2" s="89" t="s">
        <v>138</v>
      </c>
      <c r="J2" s="115" t="s">
        <v>77</v>
      </c>
    </row>
    <row r="3" spans="1:14" ht="13.8" x14ac:dyDescent="0.25">
      <c r="A3" s="48">
        <v>46133</v>
      </c>
      <c r="B3" t="s">
        <v>74</v>
      </c>
      <c r="C3" s="7">
        <v>45256564</v>
      </c>
      <c r="D3" s="2">
        <v>46874</v>
      </c>
      <c r="E3" s="6">
        <v>9.0999999999999998E-2</v>
      </c>
      <c r="F3" s="63">
        <f>PRICE($A$3,D3,0,E3,C3,2,1)</f>
        <v>37784858.753662162</v>
      </c>
      <c r="G3" s="63">
        <f>PRICE($A$3,D3,0,E3+0.01%,C3,2,1)</f>
        <v>37777531.71034281</v>
      </c>
      <c r="H3">
        <f>PRICE($A$3,D3,0,E3-0.01%,C3,2,1)</f>
        <v>37792187.568598159</v>
      </c>
      <c r="I3">
        <f>(G3+H3-(2*F3))/(2*F3*(0.01%)^2)</f>
        <v>2.3443473272692996</v>
      </c>
      <c r="J3" s="4">
        <v>0.11698787819185538</v>
      </c>
    </row>
    <row r="4" spans="1:14" x14ac:dyDescent="0.25">
      <c r="B4" t="s">
        <v>73</v>
      </c>
      <c r="C4" s="7">
        <v>61203541</v>
      </c>
      <c r="D4" s="2">
        <v>47239</v>
      </c>
      <c r="E4" s="6">
        <v>9.7000000000000003E-2</v>
      </c>
      <c r="F4" s="63">
        <f t="shared" ref="F4:F12" si="0">PRICE($A$3,D4,0,E4,C4,2,1)</f>
        <v>45944080.376714349</v>
      </c>
      <c r="G4" s="63">
        <f t="shared" ref="G4:G12" si="1">PRICE($A$3,D4,0,E4+0.01%,C4,2,1)</f>
        <v>45930815.901975214</v>
      </c>
      <c r="H4">
        <f t="shared" ref="H4:H12" si="2">PRICE($A$3,D4,0,E4-0.01%,C4,2,1)</f>
        <v>45957349.314968534</v>
      </c>
      <c r="I4">
        <f t="shared" ref="I4:I12" si="3">(G4+H4-(2*F4))/(2*F4*(0.01%)^2)</f>
        <v>4.8575518398240609</v>
      </c>
      <c r="J4" s="4">
        <v>0.14177880844605481</v>
      </c>
      <c r="M4" s="94"/>
      <c r="N4" s="92" t="s">
        <v>138</v>
      </c>
    </row>
    <row r="5" spans="1:14" x14ac:dyDescent="0.25">
      <c r="B5" t="s">
        <v>72</v>
      </c>
      <c r="C5" s="7">
        <v>87456123</v>
      </c>
      <c r="D5" s="2">
        <v>47665</v>
      </c>
      <c r="E5" s="6">
        <v>9.9299999999999999E-2</v>
      </c>
      <c r="F5" s="63">
        <f t="shared" si="0"/>
        <v>58234333.745640181</v>
      </c>
      <c r="G5" s="63">
        <f t="shared" si="1"/>
        <v>58211058.908122152</v>
      </c>
      <c r="H5">
        <f t="shared" si="2"/>
        <v>58257618.998646863</v>
      </c>
      <c r="I5">
        <f t="shared" si="3"/>
        <v>8.9427387380508598</v>
      </c>
      <c r="J5" s="4">
        <v>0.17936455170313179</v>
      </c>
      <c r="M5" s="92" t="s">
        <v>83</v>
      </c>
      <c r="N5" s="66">
        <f>I13</f>
        <v>20.462172766214465</v>
      </c>
    </row>
    <row r="6" spans="1:14" x14ac:dyDescent="0.25">
      <c r="B6" t="s">
        <v>71</v>
      </c>
      <c r="C6" s="7">
        <v>62235132</v>
      </c>
      <c r="D6" s="2">
        <v>47983</v>
      </c>
      <c r="E6" s="6">
        <v>0.10050000000000001</v>
      </c>
      <c r="F6" s="63">
        <f t="shared" si="0"/>
        <v>37869133.920786284</v>
      </c>
      <c r="G6" s="63">
        <f t="shared" si="1"/>
        <v>37850871.078746773</v>
      </c>
      <c r="H6">
        <f t="shared" si="2"/>
        <v>37887406.444651105</v>
      </c>
      <c r="I6">
        <f t="shared" si="3"/>
        <v>12.783267410134119</v>
      </c>
      <c r="J6" s="4">
        <v>0.11680728263070624</v>
      </c>
      <c r="M6" s="92" t="s">
        <v>190</v>
      </c>
      <c r="N6" s="66">
        <f>I75</f>
        <v>26.332794071786505</v>
      </c>
    </row>
    <row r="7" spans="1:14" x14ac:dyDescent="0.25">
      <c r="B7" t="s">
        <v>70</v>
      </c>
      <c r="C7" s="7">
        <v>29568423</v>
      </c>
      <c r="D7" s="2">
        <v>48396</v>
      </c>
      <c r="E7" s="6">
        <v>0.1031</v>
      </c>
      <c r="F7" s="63">
        <f t="shared" si="0"/>
        <v>15860099.554182114</v>
      </c>
      <c r="G7" s="63">
        <f t="shared" si="1"/>
        <v>15850757.155053303</v>
      </c>
      <c r="H7">
        <f t="shared" si="2"/>
        <v>15869447.904322799</v>
      </c>
      <c r="I7">
        <f t="shared" si="3"/>
        <v>18.760953717382158</v>
      </c>
      <c r="J7" s="4">
        <v>4.8161967239126663E-2</v>
      </c>
    </row>
    <row r="8" spans="1:14" x14ac:dyDescent="0.25">
      <c r="B8" t="s">
        <v>69</v>
      </c>
      <c r="C8" s="7">
        <v>38325789</v>
      </c>
      <c r="D8" s="2">
        <v>48731</v>
      </c>
      <c r="E8" s="6">
        <v>0.1057</v>
      </c>
      <c r="F8" s="63">
        <f t="shared" si="0"/>
        <v>18421350.940494489</v>
      </c>
      <c r="G8" s="63">
        <f t="shared" si="1"/>
        <v>18408910.703755423</v>
      </c>
      <c r="H8">
        <f t="shared" si="2"/>
        <v>18433800.175405912</v>
      </c>
      <c r="I8">
        <f t="shared" si="3"/>
        <v>24.423215177716152</v>
      </c>
      <c r="J8" s="4">
        <v>5.6551280358334503E-2</v>
      </c>
    </row>
    <row r="9" spans="1:14" x14ac:dyDescent="0.25">
      <c r="B9" t="s">
        <v>68</v>
      </c>
      <c r="C9" s="7">
        <v>97235165</v>
      </c>
      <c r="D9" s="2">
        <v>49202</v>
      </c>
      <c r="E9" s="6">
        <v>0.1085</v>
      </c>
      <c r="F9" s="63">
        <f t="shared" si="0"/>
        <v>40030927.391184911</v>
      </c>
      <c r="G9" s="63">
        <f t="shared" si="1"/>
        <v>39999047.271804824</v>
      </c>
      <c r="H9">
        <f t="shared" si="2"/>
        <v>40062834.433545209</v>
      </c>
      <c r="I9">
        <f t="shared" si="3"/>
        <v>33.627724828896142</v>
      </c>
      <c r="J9" s="4">
        <v>0.12364384548493533</v>
      </c>
    </row>
    <row r="10" spans="1:14" x14ac:dyDescent="0.25">
      <c r="B10" t="s">
        <v>67</v>
      </c>
      <c r="C10" s="7">
        <v>89456789</v>
      </c>
      <c r="D10" s="2">
        <v>49475</v>
      </c>
      <c r="E10" s="6">
        <v>0.1094</v>
      </c>
      <c r="F10" s="63">
        <f t="shared" si="0"/>
        <v>33752252.437049255</v>
      </c>
      <c r="G10" s="63">
        <f t="shared" si="1"/>
        <v>33722980.70777078</v>
      </c>
      <c r="H10">
        <f t="shared" si="2"/>
        <v>33781550.963867053</v>
      </c>
      <c r="I10">
        <f t="shared" si="3"/>
        <v>39.697408896706925</v>
      </c>
      <c r="J10" s="4">
        <v>0.10396997398354665</v>
      </c>
    </row>
    <row r="11" spans="1:14" x14ac:dyDescent="0.25">
      <c r="B11" t="s">
        <v>66</v>
      </c>
      <c r="C11" s="7">
        <v>90125478</v>
      </c>
      <c r="D11" s="2">
        <v>49902</v>
      </c>
      <c r="E11" s="6">
        <v>0.11</v>
      </c>
      <c r="F11" s="63">
        <f t="shared" si="0"/>
        <v>29846695.825138964</v>
      </c>
      <c r="G11" s="63">
        <f t="shared" si="1"/>
        <v>29817513.532657363</v>
      </c>
      <c r="H11">
        <f t="shared" si="2"/>
        <v>29875908.063335076</v>
      </c>
      <c r="I11">
        <f t="shared" si="3"/>
        <v>50.165878806850884</v>
      </c>
      <c r="J11" s="4">
        <v>9.2282565886567747E-2</v>
      </c>
    </row>
    <row r="12" spans="1:14" x14ac:dyDescent="0.25">
      <c r="B12" t="s">
        <v>65</v>
      </c>
      <c r="C12" s="7">
        <v>22258946</v>
      </c>
      <c r="D12" s="2">
        <v>50222</v>
      </c>
      <c r="E12" s="6">
        <v>0.1104</v>
      </c>
      <c r="F12" s="63">
        <f t="shared" si="0"/>
        <v>6683223.0696721002</v>
      </c>
      <c r="G12" s="63">
        <f t="shared" si="1"/>
        <v>6676135.8067952739</v>
      </c>
      <c r="H12">
        <f t="shared" si="2"/>
        <v>6690318.192625137</v>
      </c>
      <c r="I12">
        <f t="shared" si="3"/>
        <v>58.804532853775591</v>
      </c>
      <c r="J12" s="4">
        <v>2.0451846075740816E-2</v>
      </c>
    </row>
    <row r="13" spans="1:14" x14ac:dyDescent="0.25">
      <c r="I13" s="66">
        <f>SUMPRODUCT(I3:I12,J3:J12)</f>
        <v>20.462172766214465</v>
      </c>
      <c r="J13" s="4">
        <v>1</v>
      </c>
    </row>
    <row r="16" spans="1:14" x14ac:dyDescent="0.25">
      <c r="A16" s="70" t="s">
        <v>139</v>
      </c>
    </row>
    <row r="17" spans="2:11" x14ac:dyDescent="0.25">
      <c r="B17" s="115" t="s">
        <v>63</v>
      </c>
      <c r="C17" s="89" t="s">
        <v>140</v>
      </c>
      <c r="D17" s="89" t="s">
        <v>86</v>
      </c>
      <c r="E17" s="89" t="s">
        <v>80</v>
      </c>
      <c r="F17" s="89" t="s">
        <v>135</v>
      </c>
      <c r="G17" s="89" t="s">
        <v>136</v>
      </c>
      <c r="H17" s="89" t="s">
        <v>137</v>
      </c>
      <c r="I17" s="89" t="s">
        <v>138</v>
      </c>
      <c r="J17" s="115"/>
      <c r="K17" s="146" t="s">
        <v>56</v>
      </c>
    </row>
    <row r="18" spans="2:11" x14ac:dyDescent="0.25">
      <c r="B18" s="90" t="s">
        <v>192</v>
      </c>
      <c r="C18" s="97">
        <v>0</v>
      </c>
      <c r="D18" s="96">
        <v>46224</v>
      </c>
      <c r="E18" s="4">
        <v>8.3560474057780998E-2</v>
      </c>
      <c r="F18" s="62">
        <v>97.887776905761697</v>
      </c>
      <c r="G18" s="62">
        <f>TBILLPRICE($A$3,D18,E18+0.01%)</f>
        <v>97.885249127983869</v>
      </c>
      <c r="H18">
        <f>TBILLPRICE($A$3,D18,E18-0.01%)</f>
        <v>97.890304683539426</v>
      </c>
      <c r="I18">
        <f t="shared" ref="I18:I20" si="4">(G18+H18-(2*F18))/(2*F18*(0.01%)^2)</f>
        <v>-4.3552489895290127E-8</v>
      </c>
      <c r="J18" s="99"/>
      <c r="K18" s="134">
        <v>1.6964600224830381E-4</v>
      </c>
    </row>
    <row r="19" spans="2:11" x14ac:dyDescent="0.25">
      <c r="B19" s="90" t="s">
        <v>193</v>
      </c>
      <c r="C19" s="97">
        <v>0</v>
      </c>
      <c r="D19" s="96">
        <v>46316</v>
      </c>
      <c r="E19" s="4">
        <v>8.3464065730040907E-2</v>
      </c>
      <c r="F19" s="62">
        <v>95.757243325389581</v>
      </c>
      <c r="G19" s="62">
        <f t="shared" ref="G19:G20" si="5">TBILLPRICE($A$3,D19,E19+0.01%)</f>
        <v>95.752159992056249</v>
      </c>
      <c r="H19">
        <f t="shared" ref="H19:H20" si="6">TBILLPRICE($A$3,D19,E19-0.01%)</f>
        <v>95.762326658722912</v>
      </c>
      <c r="I19">
        <f t="shared" si="4"/>
        <v>0</v>
      </c>
      <c r="J19" s="99"/>
      <c r="K19" s="134">
        <v>1.6658467062430265E-4</v>
      </c>
    </row>
    <row r="20" spans="2:11" x14ac:dyDescent="0.25">
      <c r="B20" s="90" t="s">
        <v>194</v>
      </c>
      <c r="C20" s="97">
        <v>0</v>
      </c>
      <c r="D20" s="96">
        <v>46498</v>
      </c>
      <c r="E20" s="4">
        <v>8.4732420634920702E-2</v>
      </c>
      <c r="F20" s="62">
        <v>91.40907401895943</v>
      </c>
      <c r="G20" s="62">
        <f t="shared" si="5"/>
        <v>91.398935130070541</v>
      </c>
      <c r="H20">
        <f t="shared" si="6"/>
        <v>91.419212907848319</v>
      </c>
      <c r="I20">
        <f t="shared" si="4"/>
        <v>0</v>
      </c>
      <c r="J20" s="99"/>
      <c r="K20" s="134">
        <v>1.6064501000254627E-4</v>
      </c>
    </row>
    <row r="21" spans="2:11" x14ac:dyDescent="0.25">
      <c r="B21" s="1" t="s">
        <v>53</v>
      </c>
      <c r="C21" s="65">
        <v>0.22500000000000001</v>
      </c>
      <c r="D21" s="2">
        <v>46157</v>
      </c>
      <c r="E21" s="4">
        <v>8.40113958373577E-2</v>
      </c>
      <c r="F21" s="62">
        <f>PRICE($A$3,D21,C21,E21,100,2,1)</f>
        <v>100.87550281983593</v>
      </c>
      <c r="G21" s="62">
        <f>PRICE($A$3,D21,C21,E21+0.01%,100,2,1)</f>
        <v>100.87477340369439</v>
      </c>
      <c r="H21">
        <f>PRICE($A$3,D21,C21,E21-0.01%,100,2,1)</f>
        <v>100.87623224559576</v>
      </c>
      <c r="I21">
        <f>(G21+H21-(2*F21))/(2*F21*(0.01%)^2)</f>
        <v>4.7674133492841535E-3</v>
      </c>
      <c r="J21" s="4"/>
      <c r="K21" s="98">
        <v>2.1115471129734267E-3</v>
      </c>
    </row>
    <row r="22" spans="2:11" x14ac:dyDescent="0.25">
      <c r="B22" s="1" t="s">
        <v>52</v>
      </c>
      <c r="C22" t="s">
        <v>142</v>
      </c>
      <c r="D22" s="2">
        <v>46174</v>
      </c>
      <c r="E22" s="4">
        <v>8.3882039216594304E-2</v>
      </c>
      <c r="F22" s="62">
        <f t="shared" ref="F22:F74" si="7">PRICE($A$3,D22,C22,E22,100,2,1)</f>
        <v>100.25155021572614</v>
      </c>
      <c r="G22" s="62">
        <f t="shared" ref="G22:G74" si="8">PRICE($A$3,D22,C22,E22+0.01%,100,2,1)</f>
        <v>100.2503840454537</v>
      </c>
      <c r="H22">
        <f t="shared" ref="H22:H74" si="9">PRICE($A$3,D22,C22,E22-0.01%,100,2,1)</f>
        <v>100.25271641202384</v>
      </c>
      <c r="I22">
        <f t="shared" ref="I22:I74" si="10">(G22+H22-(2*F22))/(2*F22*(0.01%)^2)</f>
        <v>1.2979986893149375E-2</v>
      </c>
      <c r="J22" s="4"/>
      <c r="K22" s="98">
        <v>2.0978166683163829E-3</v>
      </c>
    </row>
    <row r="23" spans="2:11" x14ac:dyDescent="0.25">
      <c r="B23" s="1" t="s">
        <v>51</v>
      </c>
      <c r="C23" t="s">
        <v>143</v>
      </c>
      <c r="D23" s="2">
        <v>46235</v>
      </c>
      <c r="E23" s="4">
        <v>8.3517115233723904E-2</v>
      </c>
      <c r="F23" s="62">
        <f t="shared" si="7"/>
        <v>100.80899063840252</v>
      </c>
      <c r="G23" s="62">
        <f t="shared" si="8"/>
        <v>100.80614646027453</v>
      </c>
      <c r="H23">
        <f t="shared" si="9"/>
        <v>100.81183497312941</v>
      </c>
      <c r="I23">
        <f t="shared" si="10"/>
        <v>7.7671098562763163E-2</v>
      </c>
      <c r="J23" s="4"/>
      <c r="K23" s="98">
        <v>2.0477554643484239E-3</v>
      </c>
    </row>
    <row r="24" spans="2:11" x14ac:dyDescent="0.25">
      <c r="B24" s="1" t="s">
        <v>50</v>
      </c>
      <c r="C24" t="s">
        <v>144</v>
      </c>
      <c r="D24" s="2">
        <v>46371</v>
      </c>
      <c r="E24" s="4">
        <v>8.3649056659922699E-2</v>
      </c>
      <c r="F24" s="62">
        <f t="shared" si="7"/>
        <v>101.76766234625684</v>
      </c>
      <c r="G24" s="62">
        <f t="shared" si="8"/>
        <v>101.7613239518347</v>
      </c>
      <c r="H24">
        <f t="shared" si="9"/>
        <v>101.77400143717163</v>
      </c>
      <c r="I24">
        <f t="shared" si="10"/>
        <v>0.34219743609978082</v>
      </c>
      <c r="J24" s="4"/>
      <c r="K24" s="98">
        <v>1.9467695664544902E-3</v>
      </c>
    </row>
    <row r="25" spans="2:11" x14ac:dyDescent="0.25">
      <c r="B25" s="1" t="s">
        <v>49</v>
      </c>
      <c r="C25" t="s">
        <v>145</v>
      </c>
      <c r="D25" s="2">
        <v>46402</v>
      </c>
      <c r="E25" s="4">
        <v>8.3848687277853801E-2</v>
      </c>
      <c r="F25" s="62">
        <f t="shared" si="7"/>
        <v>102.07699064470017</v>
      </c>
      <c r="G25" s="62">
        <f t="shared" si="8"/>
        <v>102.06984728710759</v>
      </c>
      <c r="H25">
        <f t="shared" si="9"/>
        <v>102.08413484287053</v>
      </c>
      <c r="I25">
        <f t="shared" si="10"/>
        <v>0.41173714265029454</v>
      </c>
      <c r="J25" s="4"/>
      <c r="K25" s="98">
        <v>1.9222555077229638E-3</v>
      </c>
    </row>
    <row r="26" spans="2:11" x14ac:dyDescent="0.25">
      <c r="B26" s="1" t="s">
        <v>48</v>
      </c>
      <c r="C26" t="s">
        <v>146</v>
      </c>
      <c r="D26" s="2">
        <v>46508</v>
      </c>
      <c r="E26" s="4">
        <v>8.4860652826682897E-2</v>
      </c>
      <c r="F26" s="62">
        <f t="shared" si="7"/>
        <v>109.16771716971725</v>
      </c>
      <c r="G26" s="62">
        <f t="shared" si="8"/>
        <v>109.15739254845035</v>
      </c>
      <c r="H26">
        <f t="shared" si="9"/>
        <v>109.17804328091488</v>
      </c>
      <c r="I26">
        <f t="shared" si="10"/>
        <v>0.68240445215953127</v>
      </c>
      <c r="J26" s="4"/>
      <c r="K26" s="98">
        <v>1.8613404458930442E-3</v>
      </c>
    </row>
    <row r="27" spans="2:11" x14ac:dyDescent="0.25">
      <c r="B27" s="1" t="s">
        <v>47</v>
      </c>
      <c r="C27" t="s">
        <v>147</v>
      </c>
      <c r="D27" s="2">
        <v>46553</v>
      </c>
      <c r="E27" s="4">
        <v>8.5421021462811497E-2</v>
      </c>
      <c r="F27" s="62">
        <f t="shared" si="7"/>
        <v>103.42132234216815</v>
      </c>
      <c r="G27" s="62">
        <f t="shared" si="8"/>
        <v>103.41027659145155</v>
      </c>
      <c r="H27">
        <f t="shared" si="9"/>
        <v>103.43236981735967</v>
      </c>
      <c r="I27">
        <f t="shared" si="10"/>
        <v>0.83371343260540409</v>
      </c>
      <c r="J27" s="4"/>
      <c r="K27" s="98">
        <v>1.8155620860451855E-3</v>
      </c>
    </row>
    <row r="28" spans="2:11" x14ac:dyDescent="0.25">
      <c r="B28" s="1" t="s">
        <v>46</v>
      </c>
      <c r="C28" t="s">
        <v>148</v>
      </c>
      <c r="D28" s="2">
        <v>46614</v>
      </c>
      <c r="E28" s="4">
        <v>8.6330065444057594E-2</v>
      </c>
      <c r="F28" s="62">
        <f t="shared" si="7"/>
        <v>98.962128786302685</v>
      </c>
      <c r="G28" s="62">
        <f t="shared" si="8"/>
        <v>98.949964172266689</v>
      </c>
      <c r="H28">
        <f t="shared" si="9"/>
        <v>98.974295498491074</v>
      </c>
      <c r="I28">
        <f t="shared" si="10"/>
        <v>1.0600784384294337</v>
      </c>
      <c r="J28" s="4"/>
      <c r="K28" s="98">
        <v>1.7591813593858603E-3</v>
      </c>
    </row>
    <row r="29" spans="2:11" x14ac:dyDescent="0.25">
      <c r="B29" s="1" t="s">
        <v>45</v>
      </c>
      <c r="C29" t="s">
        <v>149</v>
      </c>
      <c r="D29" s="2">
        <v>46645</v>
      </c>
      <c r="E29" s="4">
        <v>8.6797664448706596E-2</v>
      </c>
      <c r="F29" s="62">
        <f t="shared" si="7"/>
        <v>114.58753375615322</v>
      </c>
      <c r="G29" s="62">
        <f t="shared" si="8"/>
        <v>114.57326664938456</v>
      </c>
      <c r="H29">
        <f t="shared" si="9"/>
        <v>114.60180338667111</v>
      </c>
      <c r="I29">
        <f t="shared" si="10"/>
        <v>1.101232022456391</v>
      </c>
      <c r="J29" s="4"/>
      <c r="K29" s="98">
        <v>1.7555472632257317E-3</v>
      </c>
    </row>
    <row r="30" spans="2:11" x14ac:dyDescent="0.25">
      <c r="B30" s="1" t="s">
        <v>44</v>
      </c>
      <c r="C30" t="s">
        <v>150</v>
      </c>
      <c r="D30" s="2">
        <v>46675</v>
      </c>
      <c r="E30" s="4">
        <v>8.7286796443576106E-2</v>
      </c>
      <c r="F30" s="62">
        <f t="shared" si="7"/>
        <v>102.13962799103653</v>
      </c>
      <c r="G30" s="62">
        <f t="shared" si="8"/>
        <v>102.12578580839367</v>
      </c>
      <c r="H30">
        <f t="shared" si="9"/>
        <v>102.15347276152713</v>
      </c>
      <c r="I30">
        <f t="shared" si="10"/>
        <v>1.2668186522459397</v>
      </c>
      <c r="J30" s="4"/>
      <c r="K30" s="98">
        <v>1.7161848995378296E-3</v>
      </c>
    </row>
    <row r="31" spans="2:11" x14ac:dyDescent="0.25">
      <c r="B31" s="1" t="s">
        <v>43</v>
      </c>
      <c r="C31" t="s">
        <v>144</v>
      </c>
      <c r="D31" s="2">
        <v>46736</v>
      </c>
      <c r="E31" s="4">
        <v>8.8384590542223404E-2</v>
      </c>
      <c r="F31" s="62">
        <f t="shared" si="7"/>
        <v>103.60509580952807</v>
      </c>
      <c r="G31" s="62">
        <f t="shared" si="8"/>
        <v>103.58964502930945</v>
      </c>
      <c r="H31">
        <f t="shared" si="9"/>
        <v>103.62054970285079</v>
      </c>
      <c r="I31">
        <f t="shared" si="10"/>
        <v>1.5023894700904254</v>
      </c>
      <c r="J31" s="4"/>
      <c r="K31" s="98">
        <v>1.6908121879771782E-3</v>
      </c>
    </row>
    <row r="32" spans="2:11" x14ac:dyDescent="0.25">
      <c r="B32" s="1" t="s">
        <v>42</v>
      </c>
      <c r="C32" t="s">
        <v>146</v>
      </c>
      <c r="D32" s="2">
        <v>46767</v>
      </c>
      <c r="E32" s="4">
        <v>8.89904881240796E-2</v>
      </c>
      <c r="F32" s="62">
        <f t="shared" si="7"/>
        <v>114.28837559304687</v>
      </c>
      <c r="G32" s="62">
        <f t="shared" si="8"/>
        <v>114.2710638532007</v>
      </c>
      <c r="H32">
        <f t="shared" si="9"/>
        <v>114.30569090623264</v>
      </c>
      <c r="I32">
        <f t="shared" si="10"/>
        <v>1.5632996826802155</v>
      </c>
      <c r="J32" s="4"/>
      <c r="K32" s="98">
        <v>1.685582280229478E-3</v>
      </c>
    </row>
    <row r="33" spans="2:11" x14ac:dyDescent="0.25">
      <c r="B33" s="1" t="s">
        <v>41</v>
      </c>
      <c r="C33" t="s">
        <v>151</v>
      </c>
      <c r="D33" s="2">
        <v>46798</v>
      </c>
      <c r="E33" s="4">
        <v>8.95391050044331E-2</v>
      </c>
      <c r="F33" s="62">
        <f t="shared" si="7"/>
        <v>102.92957789822663</v>
      </c>
      <c r="G33" s="62">
        <f t="shared" si="8"/>
        <v>102.91276686035394</v>
      </c>
      <c r="H33">
        <f t="shared" si="9"/>
        <v>102.94639258067714</v>
      </c>
      <c r="I33">
        <f t="shared" si="10"/>
        <v>1.7704229876636246</v>
      </c>
      <c r="J33" s="4"/>
      <c r="K33" s="98">
        <v>1.6401318069422007E-3</v>
      </c>
    </row>
    <row r="34" spans="2:11" x14ac:dyDescent="0.25">
      <c r="B34" s="1" t="s">
        <v>40</v>
      </c>
      <c r="C34" t="s">
        <v>151</v>
      </c>
      <c r="D34" s="2">
        <v>46827</v>
      </c>
      <c r="E34" s="4">
        <v>9.00941817818528E-2</v>
      </c>
      <c r="F34" s="62">
        <f t="shared" si="7"/>
        <v>102.95875313607972</v>
      </c>
      <c r="G34" s="62">
        <f t="shared" si="8"/>
        <v>102.94129233949901</v>
      </c>
      <c r="H34">
        <f t="shared" si="9"/>
        <v>102.97621784234954</v>
      </c>
      <c r="I34">
        <f t="shared" si="10"/>
        <v>1.8986676742022439</v>
      </c>
      <c r="J34" s="4"/>
      <c r="K34" s="98">
        <v>1.6172589468089207E-3</v>
      </c>
    </row>
    <row r="35" spans="2:11" x14ac:dyDescent="0.25">
      <c r="B35" s="1" t="s">
        <v>39</v>
      </c>
      <c r="C35" t="s">
        <v>152</v>
      </c>
      <c r="D35" s="2">
        <v>46874</v>
      </c>
      <c r="E35" s="4">
        <v>9.1002560132757607E-2</v>
      </c>
      <c r="F35" s="62">
        <f t="shared" si="7"/>
        <v>99.81285107751053</v>
      </c>
      <c r="G35" s="62">
        <f t="shared" si="8"/>
        <v>99.794726587681723</v>
      </c>
      <c r="H35">
        <f t="shared" si="9"/>
        <v>99.830979850256298</v>
      </c>
      <c r="I35">
        <f t="shared" si="10"/>
        <v>2.145473711698151</v>
      </c>
      <c r="J35" s="4"/>
      <c r="K35" s="98">
        <v>1.5975323428180149E-3</v>
      </c>
    </row>
    <row r="36" spans="2:11" x14ac:dyDescent="0.25">
      <c r="B36" s="1" t="s">
        <v>38</v>
      </c>
      <c r="C36" t="s">
        <v>152</v>
      </c>
      <c r="D36" s="2">
        <v>46935</v>
      </c>
      <c r="E36" s="4">
        <v>9.2184243172472105E-2</v>
      </c>
      <c r="F36" s="62">
        <f t="shared" si="7"/>
        <v>99.550322230134952</v>
      </c>
      <c r="G36" s="62">
        <f t="shared" si="8"/>
        <v>99.530873357563905</v>
      </c>
      <c r="H36">
        <f t="shared" si="9"/>
        <v>99.569775985698669</v>
      </c>
      <c r="I36">
        <f t="shared" si="10"/>
        <v>2.4525247936793808</v>
      </c>
      <c r="J36" s="4"/>
      <c r="K36" s="98">
        <v>1.5489667863243573E-3</v>
      </c>
    </row>
    <row r="37" spans="2:11" x14ac:dyDescent="0.25">
      <c r="B37" s="1" t="s">
        <v>37</v>
      </c>
      <c r="C37" t="s">
        <v>143</v>
      </c>
      <c r="D37" s="2">
        <v>46997</v>
      </c>
      <c r="E37" s="4">
        <v>9.3333514575865195E-2</v>
      </c>
      <c r="F37" s="62">
        <f t="shared" si="7"/>
        <v>104.47246624145846</v>
      </c>
      <c r="G37" s="62">
        <f t="shared" si="8"/>
        <v>104.4510810316833</v>
      </c>
      <c r="H37">
        <f t="shared" si="9"/>
        <v>104.49385709463121</v>
      </c>
      <c r="I37">
        <f t="shared" si="10"/>
        <v>2.7009018753582201</v>
      </c>
      <c r="J37" s="4"/>
      <c r="K37" s="98">
        <v>1.5140323902303183E-3</v>
      </c>
    </row>
    <row r="38" spans="2:11" x14ac:dyDescent="0.25">
      <c r="B38" s="1" t="s">
        <v>36</v>
      </c>
      <c r="C38" t="s">
        <v>142</v>
      </c>
      <c r="D38" s="2">
        <v>47041</v>
      </c>
      <c r="E38" s="4">
        <v>9.4110289763709498E-2</v>
      </c>
      <c r="F38" s="62">
        <f t="shared" si="7"/>
        <v>103.4436658399548</v>
      </c>
      <c r="G38" s="62">
        <f t="shared" si="8"/>
        <v>103.42149114158825</v>
      </c>
      <c r="H38">
        <f t="shared" si="9"/>
        <v>103.46584663749471</v>
      </c>
      <c r="I38">
        <f t="shared" si="10"/>
        <v>2.9480651540966893</v>
      </c>
      <c r="J38" s="4"/>
      <c r="K38" s="98">
        <v>1.476553085489538E-3</v>
      </c>
    </row>
    <row r="39" spans="2:11" x14ac:dyDescent="0.25">
      <c r="B39" s="1" t="s">
        <v>35</v>
      </c>
      <c r="C39" t="s">
        <v>143</v>
      </c>
      <c r="D39" s="2">
        <v>47102</v>
      </c>
      <c r="E39" s="4">
        <v>9.5082766762326701E-2</v>
      </c>
      <c r="F39" s="62">
        <f t="shared" si="7"/>
        <v>104.54423176102931</v>
      </c>
      <c r="G39" s="62">
        <f t="shared" si="8"/>
        <v>104.52058384007503</v>
      </c>
      <c r="H39">
        <f t="shared" si="9"/>
        <v>104.56788651110577</v>
      </c>
      <c r="I39">
        <f t="shared" si="10"/>
        <v>3.266140116028398</v>
      </c>
      <c r="J39" s="4"/>
      <c r="K39" s="98">
        <v>1.4650451855112794E-3</v>
      </c>
    </row>
    <row r="40" spans="2:11" x14ac:dyDescent="0.25">
      <c r="B40" s="1" t="s">
        <v>34</v>
      </c>
      <c r="C40" t="s">
        <v>153</v>
      </c>
      <c r="D40" s="2">
        <v>47119</v>
      </c>
      <c r="E40" s="4">
        <v>9.5368609514886807E-2</v>
      </c>
      <c r="F40" s="62">
        <f t="shared" si="7"/>
        <v>108.02976938754009</v>
      </c>
      <c r="G40" s="62">
        <f t="shared" si="8"/>
        <v>108.0052566758602</v>
      </c>
      <c r="H40">
        <f t="shared" si="9"/>
        <v>108.05428923873484</v>
      </c>
      <c r="I40">
        <f t="shared" si="10"/>
        <v>3.3044201234712598</v>
      </c>
      <c r="J40" s="4"/>
      <c r="K40" s="98">
        <v>1.4617817169850791E-3</v>
      </c>
    </row>
    <row r="41" spans="2:11" x14ac:dyDescent="0.25">
      <c r="B41" s="1" t="s">
        <v>33</v>
      </c>
      <c r="C41" t="s">
        <v>153</v>
      </c>
      <c r="D41" s="2">
        <v>47239</v>
      </c>
      <c r="E41" s="4">
        <v>9.6976289287822398E-2</v>
      </c>
      <c r="F41" s="62">
        <f t="shared" si="7"/>
        <v>108.4804593626648</v>
      </c>
      <c r="G41" s="62">
        <f t="shared" si="8"/>
        <v>108.4533799866866</v>
      </c>
      <c r="H41">
        <f t="shared" si="9"/>
        <v>108.50754738658776</v>
      </c>
      <c r="I41">
        <f t="shared" si="10"/>
        <v>3.9859458578994462</v>
      </c>
      <c r="J41" s="4"/>
      <c r="K41" s="98">
        <v>1.4086624902048396E-3</v>
      </c>
    </row>
    <row r="42" spans="2:11" x14ac:dyDescent="0.25">
      <c r="B42" s="1" t="s">
        <v>32</v>
      </c>
      <c r="C42" t="s">
        <v>147</v>
      </c>
      <c r="D42" s="2">
        <v>47284</v>
      </c>
      <c r="E42" s="4">
        <v>9.7421528404809304E-2</v>
      </c>
      <c r="F42" s="62">
        <f t="shared" si="7"/>
        <v>105.30822189769614</v>
      </c>
      <c r="G42" s="62">
        <f t="shared" si="8"/>
        <v>105.28072198089066</v>
      </c>
      <c r="H42">
        <f t="shared" si="9"/>
        <v>105.33573091264357</v>
      </c>
      <c r="I42">
        <f t="shared" si="10"/>
        <v>4.3197681030871227</v>
      </c>
      <c r="J42" s="4"/>
      <c r="K42" s="98">
        <v>1.3632318190585694E-3</v>
      </c>
    </row>
    <row r="43" spans="2:11" x14ac:dyDescent="0.25">
      <c r="B43" s="1" t="s">
        <v>31</v>
      </c>
      <c r="C43" t="s">
        <v>149</v>
      </c>
      <c r="D43" s="2">
        <v>47314</v>
      </c>
      <c r="E43" s="4">
        <v>9.7709258127113299E-2</v>
      </c>
      <c r="F43" s="62">
        <f t="shared" si="7"/>
        <v>127.73755710791752</v>
      </c>
      <c r="G43" s="62">
        <f t="shared" si="8"/>
        <v>127.70559426456924</v>
      </c>
      <c r="H43">
        <f t="shared" si="9"/>
        <v>127.76953045640036</v>
      </c>
      <c r="I43">
        <f t="shared" si="10"/>
        <v>4.1119991614429745</v>
      </c>
      <c r="J43" s="4"/>
      <c r="K43" s="98">
        <v>1.396389301179474E-3</v>
      </c>
    </row>
    <row r="44" spans="2:11" x14ac:dyDescent="0.25">
      <c r="B44" s="1" t="s">
        <v>30</v>
      </c>
      <c r="C44" t="s">
        <v>142</v>
      </c>
      <c r="D44" s="2">
        <v>47376</v>
      </c>
      <c r="E44" s="4">
        <v>9.8159074661940293E-2</v>
      </c>
      <c r="F44" s="62">
        <f t="shared" si="7"/>
        <v>103.33268386451574</v>
      </c>
      <c r="G44" s="62">
        <f t="shared" si="8"/>
        <v>103.30375025016153</v>
      </c>
      <c r="H44">
        <f t="shared" si="9"/>
        <v>103.36162768357167</v>
      </c>
      <c r="I44">
        <f t="shared" si="10"/>
        <v>4.937789926566845</v>
      </c>
      <c r="J44" s="4"/>
      <c r="K44" s="98">
        <v>2.6762606271373271E-3</v>
      </c>
    </row>
    <row r="45" spans="2:11" x14ac:dyDescent="0.25">
      <c r="B45" s="1" t="s">
        <v>29</v>
      </c>
      <c r="C45" t="s">
        <v>154</v>
      </c>
      <c r="D45" s="2">
        <v>47406</v>
      </c>
      <c r="E45" s="4">
        <v>9.83341851437666E-2</v>
      </c>
      <c r="F45" s="62">
        <f t="shared" si="7"/>
        <v>101.48926706674334</v>
      </c>
      <c r="G45" s="62">
        <f t="shared" si="8"/>
        <v>101.46009356477683</v>
      </c>
      <c r="H45">
        <f t="shared" si="9"/>
        <v>101.51845109608236</v>
      </c>
      <c r="I45">
        <f t="shared" si="10"/>
        <v>5.1864462263853586</v>
      </c>
      <c r="J45" s="4"/>
      <c r="K45" s="98">
        <v>4.3265151829706746E-3</v>
      </c>
    </row>
    <row r="46" spans="2:11" x14ac:dyDescent="0.25">
      <c r="B46" s="1" t="s">
        <v>28</v>
      </c>
      <c r="C46" t="s">
        <v>142</v>
      </c>
      <c r="D46" s="2">
        <v>47467</v>
      </c>
      <c r="E46" s="4">
        <v>9.8627666279997694E-2</v>
      </c>
      <c r="F46" s="62">
        <f t="shared" si="7"/>
        <v>103.38930793356108</v>
      </c>
      <c r="G46" s="62">
        <f t="shared" si="8"/>
        <v>103.35859469532758</v>
      </c>
      <c r="H46">
        <f t="shared" si="9"/>
        <v>103.42003264547145</v>
      </c>
      <c r="I46">
        <f t="shared" si="10"/>
        <v>5.5487734143113228</v>
      </c>
      <c r="J46" s="4"/>
      <c r="K46" s="98">
        <v>6.2045940791250207E-3</v>
      </c>
    </row>
    <row r="47" spans="2:11" x14ac:dyDescent="0.25">
      <c r="B47" s="1" t="s">
        <v>27</v>
      </c>
      <c r="C47" t="s">
        <v>155</v>
      </c>
      <c r="D47" s="2">
        <v>47543</v>
      </c>
      <c r="E47" s="4">
        <v>9.8927966720125299E-2</v>
      </c>
      <c r="F47" s="62">
        <f t="shared" si="7"/>
        <v>98.741343687093448</v>
      </c>
      <c r="G47" s="62">
        <f t="shared" si="8"/>
        <v>98.710109529000917</v>
      </c>
      <c r="H47">
        <f t="shared" si="9"/>
        <v>98.772590142464807</v>
      </c>
      <c r="I47">
        <f t="shared" si="10"/>
        <v>6.227016146336517</v>
      </c>
      <c r="J47" s="4"/>
      <c r="K47" s="98">
        <v>9.88435045379632E-3</v>
      </c>
    </row>
    <row r="48" spans="2:11" x14ac:dyDescent="0.25">
      <c r="B48" s="1" t="s">
        <v>26</v>
      </c>
      <c r="C48" t="s">
        <v>142</v>
      </c>
      <c r="D48" s="2">
        <v>47618</v>
      </c>
      <c r="E48" s="4">
        <v>9.9175489691069402E-2</v>
      </c>
      <c r="F48" s="62">
        <f t="shared" si="7"/>
        <v>103.53589867148779</v>
      </c>
      <c r="G48" s="62">
        <f t="shared" si="8"/>
        <v>103.50235416787112</v>
      </c>
      <c r="H48">
        <f t="shared" si="9"/>
        <v>103.56945685731098</v>
      </c>
      <c r="I48">
        <f t="shared" si="10"/>
        <v>6.6074698333695476</v>
      </c>
      <c r="J48" s="4"/>
      <c r="K48" s="98">
        <v>7.3230518162425359E-3</v>
      </c>
    </row>
    <row r="49" spans="2:11" x14ac:dyDescent="0.25">
      <c r="B49" s="1" t="s">
        <v>25</v>
      </c>
      <c r="C49" t="s">
        <v>156</v>
      </c>
      <c r="D49" s="2">
        <v>47665</v>
      </c>
      <c r="E49" s="4">
        <v>9.9319237123677698E-2</v>
      </c>
      <c r="F49" s="62">
        <f t="shared" si="7"/>
        <v>99.359666023365733</v>
      </c>
      <c r="G49" s="62">
        <f t="shared" si="8"/>
        <v>99.326126821653858</v>
      </c>
      <c r="H49">
        <f t="shared" si="9"/>
        <v>99.393219342379624</v>
      </c>
      <c r="I49">
        <f t="shared" si="10"/>
        <v>7.1041412377900821</v>
      </c>
      <c r="J49" s="4"/>
      <c r="K49" s="98">
        <v>1.0012308291901268E-2</v>
      </c>
    </row>
    <row r="50" spans="2:11" x14ac:dyDescent="0.25">
      <c r="B50" s="1" t="s">
        <v>24</v>
      </c>
      <c r="C50" t="s">
        <v>142</v>
      </c>
      <c r="D50" s="2">
        <v>47771</v>
      </c>
      <c r="E50" s="4">
        <v>9.9641466183029798E-2</v>
      </c>
      <c r="F50" s="62">
        <f t="shared" si="7"/>
        <v>103.66935602889157</v>
      </c>
      <c r="G50" s="62">
        <f t="shared" si="8"/>
        <v>103.63307999413601</v>
      </c>
      <c r="H50">
        <f t="shared" si="9"/>
        <v>103.70564809032845</v>
      </c>
      <c r="I50">
        <f t="shared" si="10"/>
        <v>7.7297100784701831</v>
      </c>
      <c r="J50" s="4"/>
      <c r="K50" s="98">
        <v>1.3278095735129463E-2</v>
      </c>
    </row>
    <row r="51" spans="2:11" x14ac:dyDescent="0.25">
      <c r="B51" s="1" t="s">
        <v>23</v>
      </c>
      <c r="C51" t="s">
        <v>144</v>
      </c>
      <c r="D51" s="2">
        <v>47922</v>
      </c>
      <c r="E51" s="4">
        <v>0.10017900909794999</v>
      </c>
      <c r="F51" s="62">
        <f t="shared" si="7"/>
        <v>104.65841890707944</v>
      </c>
      <c r="G51" s="62">
        <f t="shared" si="8"/>
        <v>104.61930232731848</v>
      </c>
      <c r="H51">
        <f t="shared" si="9"/>
        <v>104.69755402908723</v>
      </c>
      <c r="I51">
        <f t="shared" si="10"/>
        <v>8.858459275647613</v>
      </c>
      <c r="J51" s="4"/>
      <c r="K51" s="98">
        <v>1.9061790612958159E-2</v>
      </c>
    </row>
    <row r="52" spans="2:11" x14ac:dyDescent="0.25">
      <c r="B52" s="1" t="s">
        <v>22</v>
      </c>
      <c r="C52" t="s">
        <v>146</v>
      </c>
      <c r="D52" s="2">
        <v>47983</v>
      </c>
      <c r="E52" s="4">
        <v>0.100458084506897</v>
      </c>
      <c r="F52" s="62">
        <f t="shared" si="7"/>
        <v>130.96460129388575</v>
      </c>
      <c r="G52" s="62">
        <f t="shared" si="8"/>
        <v>130.91802416633922</v>
      </c>
      <c r="H52">
        <f t="shared" si="9"/>
        <v>131.01120035256636</v>
      </c>
      <c r="I52">
        <f t="shared" si="10"/>
        <v>8.372924389105874</v>
      </c>
      <c r="J52" s="4"/>
      <c r="K52" s="98">
        <v>1.1153035649984313E-2</v>
      </c>
    </row>
    <row r="53" spans="2:11" x14ac:dyDescent="0.25">
      <c r="B53" s="1" t="s">
        <v>21</v>
      </c>
      <c r="C53" t="s">
        <v>157</v>
      </c>
      <c r="D53" s="2">
        <v>48183</v>
      </c>
      <c r="E53" s="4">
        <v>0.101618467364569</v>
      </c>
      <c r="F53" s="62">
        <f t="shared" si="7"/>
        <v>107.69225594169751</v>
      </c>
      <c r="G53" s="62">
        <f t="shared" si="8"/>
        <v>107.64819658569769</v>
      </c>
      <c r="H53">
        <f t="shared" si="9"/>
        <v>107.73633849683483</v>
      </c>
      <c r="I53">
        <f t="shared" si="10"/>
        <v>10.771033301719278</v>
      </c>
      <c r="J53" s="4"/>
      <c r="K53" s="98">
        <v>2.3375612308870367E-2</v>
      </c>
    </row>
    <row r="54" spans="2:11" x14ac:dyDescent="0.25">
      <c r="B54" s="1" t="s">
        <v>20</v>
      </c>
      <c r="C54" t="s">
        <v>158</v>
      </c>
      <c r="D54" s="2">
        <v>48214</v>
      </c>
      <c r="E54" s="4">
        <v>0.101813740796484</v>
      </c>
      <c r="F54" s="62">
        <f t="shared" si="7"/>
        <v>90.720236494636808</v>
      </c>
      <c r="G54" s="62">
        <f t="shared" si="8"/>
        <v>90.680287728187466</v>
      </c>
      <c r="H54">
        <f t="shared" si="9"/>
        <v>90.76020712726546</v>
      </c>
      <c r="I54">
        <f t="shared" si="10"/>
        <v>12.051434252585119</v>
      </c>
      <c r="J54" s="4"/>
      <c r="K54" s="98">
        <v>2.3225215123741139E-2</v>
      </c>
    </row>
    <row r="55" spans="2:11" x14ac:dyDescent="0.25">
      <c r="B55" s="1" t="s">
        <v>19</v>
      </c>
      <c r="C55" t="s">
        <v>146</v>
      </c>
      <c r="D55" s="2">
        <v>48396</v>
      </c>
      <c r="E55" s="4">
        <v>0.103134021658633</v>
      </c>
      <c r="F55" s="62">
        <f t="shared" si="7"/>
        <v>134.50718713558862</v>
      </c>
      <c r="G55" s="62">
        <f t="shared" si="8"/>
        <v>134.45222797390295</v>
      </c>
      <c r="H55">
        <f t="shared" si="9"/>
        <v>134.56217653340838</v>
      </c>
      <c r="I55">
        <f t="shared" si="10"/>
        <v>11.239597944146448</v>
      </c>
      <c r="J55" s="4"/>
      <c r="K55" s="107">
        <v>1.133221200506432E-2</v>
      </c>
    </row>
    <row r="56" spans="2:11" x14ac:dyDescent="0.25">
      <c r="B56" s="1" t="s">
        <v>18</v>
      </c>
      <c r="C56" t="s">
        <v>152</v>
      </c>
      <c r="D56" s="2">
        <v>48488</v>
      </c>
      <c r="E56" s="4">
        <v>0.10383446722902399</v>
      </c>
      <c r="F56" s="62">
        <f t="shared" si="7"/>
        <v>93.603864500494751</v>
      </c>
      <c r="G56" s="62">
        <f t="shared" si="8"/>
        <v>93.55961175446582</v>
      </c>
      <c r="H56">
        <f t="shared" si="9"/>
        <v>93.648143836609393</v>
      </c>
      <c r="I56">
        <f t="shared" si="10"/>
        <v>14.203519195633483</v>
      </c>
      <c r="J56" s="4"/>
      <c r="K56" s="98">
        <v>2.6521928582832276E-2</v>
      </c>
    </row>
    <row r="57" spans="2:11" x14ac:dyDescent="0.25">
      <c r="B57" s="1" t="s">
        <v>17</v>
      </c>
      <c r="C57" t="s">
        <v>143</v>
      </c>
      <c r="D57" s="2">
        <v>48563</v>
      </c>
      <c r="E57" s="4">
        <v>0.104429609165249</v>
      </c>
      <c r="F57" s="62">
        <f t="shared" si="7"/>
        <v>104.94790361364592</v>
      </c>
      <c r="G57" s="62">
        <f t="shared" si="8"/>
        <v>104.89927067558882</v>
      </c>
      <c r="H57">
        <f t="shared" si="9"/>
        <v>104.99656594442</v>
      </c>
      <c r="I57">
        <f t="shared" si="10"/>
        <v>14.003479807613788</v>
      </c>
      <c r="J57" s="4"/>
      <c r="K57" s="98">
        <v>3.0649123843347621E-2</v>
      </c>
    </row>
    <row r="58" spans="2:11" x14ac:dyDescent="0.25">
      <c r="B58" s="1" t="s">
        <v>16</v>
      </c>
      <c r="C58" t="s">
        <v>159</v>
      </c>
      <c r="D58" s="2">
        <v>48594</v>
      </c>
      <c r="E58" s="4">
        <v>0.104656074286491</v>
      </c>
      <c r="F58" s="62">
        <f t="shared" si="7"/>
        <v>103.45143430458612</v>
      </c>
      <c r="G58" s="62">
        <f t="shared" si="8"/>
        <v>103.40286166417107</v>
      </c>
      <c r="H58">
        <f t="shared" si="9"/>
        <v>103.50003665372525</v>
      </c>
      <c r="I58">
        <f t="shared" si="10"/>
        <v>14.358778237705645</v>
      </c>
      <c r="J58" s="4"/>
      <c r="K58" s="98">
        <v>3.1505813803082837E-2</v>
      </c>
    </row>
    <row r="59" spans="2:11" x14ac:dyDescent="0.25">
      <c r="B59" s="1" t="s">
        <v>15</v>
      </c>
      <c r="C59" t="s">
        <v>152</v>
      </c>
      <c r="D59" s="2">
        <v>48731</v>
      </c>
      <c r="E59" s="4">
        <v>0.105712273681911</v>
      </c>
      <c r="F59" s="62">
        <f t="shared" si="7"/>
        <v>92.259884687942133</v>
      </c>
      <c r="G59" s="62">
        <f t="shared" si="8"/>
        <v>92.213225613761693</v>
      </c>
      <c r="H59">
        <f t="shared" si="9"/>
        <v>92.306574093638346</v>
      </c>
      <c r="I59">
        <f t="shared" si="10"/>
        <v>16.43808458914118</v>
      </c>
      <c r="J59" s="4"/>
      <c r="K59" s="98">
        <v>2.7832835018025946E-2</v>
      </c>
    </row>
    <row r="60" spans="2:11" x14ac:dyDescent="0.25">
      <c r="B60" s="1" t="s">
        <v>14</v>
      </c>
      <c r="C60" t="s">
        <v>160</v>
      </c>
      <c r="D60" s="2">
        <v>48761</v>
      </c>
      <c r="E60" s="4">
        <v>0.105927540480053</v>
      </c>
      <c r="F60" s="62">
        <f t="shared" si="7"/>
        <v>113.10911669010969</v>
      </c>
      <c r="G60" s="62">
        <f t="shared" si="8"/>
        <v>113.05535186760267</v>
      </c>
      <c r="H60">
        <f t="shared" si="9"/>
        <v>113.16291563182537</v>
      </c>
      <c r="I60">
        <f t="shared" si="10"/>
        <v>15.082430869464986</v>
      </c>
      <c r="J60" s="4"/>
      <c r="K60" s="98">
        <v>3.145664744933907E-2</v>
      </c>
    </row>
    <row r="61" spans="2:11" x14ac:dyDescent="0.25">
      <c r="B61" s="1" t="s">
        <v>13</v>
      </c>
      <c r="C61" t="s">
        <v>152</v>
      </c>
      <c r="D61" s="2">
        <v>48884</v>
      </c>
      <c r="E61" s="4">
        <v>0.106797756142299</v>
      </c>
      <c r="F61" s="62">
        <f t="shared" si="7"/>
        <v>91.452285204828812</v>
      </c>
      <c r="G61" s="62">
        <f t="shared" si="8"/>
        <v>91.404308476825776</v>
      </c>
      <c r="H61">
        <f t="shared" si="9"/>
        <v>91.500294563431126</v>
      </c>
      <c r="I61">
        <f t="shared" si="10"/>
        <v>17.840231777550262</v>
      </c>
      <c r="J61" s="4"/>
      <c r="K61" s="98">
        <v>3.2104710350537462E-2</v>
      </c>
    </row>
    <row r="62" spans="2:11" x14ac:dyDescent="0.25">
      <c r="B62" s="1" t="s">
        <v>12</v>
      </c>
      <c r="C62" t="s">
        <v>160</v>
      </c>
      <c r="D62" s="2">
        <v>48945</v>
      </c>
      <c r="E62" s="4">
        <v>0.10717527860261</v>
      </c>
      <c r="F62" s="62">
        <f t="shared" si="7"/>
        <v>113.00767985085287</v>
      </c>
      <c r="G62" s="62">
        <f t="shared" si="8"/>
        <v>112.9516875099539</v>
      </c>
      <c r="H62">
        <f t="shared" si="9"/>
        <v>113.06370959753845</v>
      </c>
      <c r="I62">
        <f t="shared" si="10"/>
        <v>16.550108209056315</v>
      </c>
      <c r="J62" s="4"/>
      <c r="K62" s="98">
        <v>3.9024030170136489E-2</v>
      </c>
    </row>
    <row r="63" spans="2:11" x14ac:dyDescent="0.25">
      <c r="B63" s="1" t="s">
        <v>11</v>
      </c>
      <c r="C63" t="s">
        <v>151</v>
      </c>
      <c r="D63" s="2">
        <v>49110</v>
      </c>
      <c r="E63" s="4">
        <v>0.10810648562585699</v>
      </c>
      <c r="F63" s="62">
        <f t="shared" si="7"/>
        <v>99.646882021444938</v>
      </c>
      <c r="G63" s="62">
        <f t="shared" si="8"/>
        <v>99.593701291502271</v>
      </c>
      <c r="H63">
        <f t="shared" si="9"/>
        <v>99.700100625458035</v>
      </c>
      <c r="I63">
        <f t="shared" si="10"/>
        <v>19.004142264717984</v>
      </c>
      <c r="J63" s="4"/>
      <c r="K63" s="98">
        <v>3.4100884910067804E-2</v>
      </c>
    </row>
    <row r="64" spans="2:11" x14ac:dyDescent="0.25">
      <c r="B64" s="1" t="s">
        <v>10</v>
      </c>
      <c r="C64" t="s">
        <v>161</v>
      </c>
      <c r="D64" s="2">
        <v>49202</v>
      </c>
      <c r="E64" s="4">
        <v>0.108507876422943</v>
      </c>
      <c r="F64" s="62">
        <f t="shared" si="7"/>
        <v>96.720871346032908</v>
      </c>
      <c r="G64" s="62">
        <f t="shared" si="8"/>
        <v>96.667837150877347</v>
      </c>
      <c r="H64">
        <f t="shared" si="9"/>
        <v>96.773944373951707</v>
      </c>
      <c r="I64">
        <f t="shared" si="10"/>
        <v>20.074655396236111</v>
      </c>
      <c r="J64" s="4"/>
      <c r="K64" s="98">
        <v>3.6293576669417488E-2</v>
      </c>
    </row>
    <row r="65" spans="2:11" x14ac:dyDescent="0.25">
      <c r="B65" s="1" t="s">
        <v>9</v>
      </c>
      <c r="C65" t="s">
        <v>143</v>
      </c>
      <c r="D65" s="2">
        <v>49383</v>
      </c>
      <c r="E65" s="4">
        <v>0.109112790249632</v>
      </c>
      <c r="F65" s="62">
        <f t="shared" si="7"/>
        <v>103.27500196645778</v>
      </c>
      <c r="G65" s="62">
        <f t="shared" si="8"/>
        <v>103.21770342498257</v>
      </c>
      <c r="H65">
        <f t="shared" si="9"/>
        <v>103.33234386485962</v>
      </c>
      <c r="I65">
        <f t="shared" si="10"/>
        <v>20.991007420867081</v>
      </c>
      <c r="J65" s="4"/>
      <c r="K65" s="107">
        <v>4.5093396190311941E-2</v>
      </c>
    </row>
    <row r="66" spans="2:11" x14ac:dyDescent="0.25">
      <c r="B66" s="1" t="s">
        <v>8</v>
      </c>
      <c r="C66" t="s">
        <v>162</v>
      </c>
      <c r="D66" s="2">
        <v>49475</v>
      </c>
      <c r="E66" s="4">
        <v>0.10935359171900801</v>
      </c>
      <c r="F66" s="62">
        <f t="shared" si="7"/>
        <v>98.629976594719395</v>
      </c>
      <c r="G66" s="62">
        <f t="shared" si="8"/>
        <v>98.573562410604879</v>
      </c>
      <c r="H66">
        <f t="shared" si="9"/>
        <v>98.686434695049641</v>
      </c>
      <c r="I66">
        <f t="shared" si="10"/>
        <v>22.263117789781575</v>
      </c>
      <c r="J66" s="4"/>
      <c r="K66" s="107">
        <v>3.8297350824988009E-2</v>
      </c>
    </row>
    <row r="67" spans="2:11" x14ac:dyDescent="0.25">
      <c r="B67" s="1" t="s">
        <v>7</v>
      </c>
      <c r="C67" t="s">
        <v>163</v>
      </c>
      <c r="D67" s="2">
        <v>49902</v>
      </c>
      <c r="E67" s="4">
        <v>0.110036392411723</v>
      </c>
      <c r="F67" s="62">
        <f t="shared" si="7"/>
        <v>99.032623809117865</v>
      </c>
      <c r="G67" s="62">
        <f t="shared" si="8"/>
        <v>98.972223235712462</v>
      </c>
      <c r="H67">
        <f t="shared" si="9"/>
        <v>99.093075763111187</v>
      </c>
      <c r="I67">
        <f t="shared" si="10"/>
        <v>25.941243378884103</v>
      </c>
      <c r="J67" s="4"/>
      <c r="K67" s="107">
        <v>4.4593166705079727E-2</v>
      </c>
    </row>
    <row r="68" spans="2:11" x14ac:dyDescent="0.25">
      <c r="B68" s="1" t="s">
        <v>6</v>
      </c>
      <c r="C68" t="s">
        <v>151</v>
      </c>
      <c r="D68" s="2">
        <v>50222</v>
      </c>
      <c r="E68" s="4">
        <v>0.110356501366721</v>
      </c>
      <c r="F68" s="62">
        <f t="shared" si="7"/>
        <v>98.154626335909143</v>
      </c>
      <c r="G68" s="62">
        <f t="shared" si="8"/>
        <v>98.09204439977519</v>
      </c>
      <c r="H68">
        <f t="shared" si="9"/>
        <v>98.217264837818036</v>
      </c>
      <c r="I68">
        <f t="shared" si="10"/>
        <v>28.814624970873584</v>
      </c>
      <c r="J68" s="4"/>
      <c r="K68" s="107">
        <v>4.6424797776980685E-2</v>
      </c>
    </row>
    <row r="69" spans="2:11" x14ac:dyDescent="0.25">
      <c r="B69" s="1" t="s">
        <v>5</v>
      </c>
      <c r="C69" t="s">
        <v>164</v>
      </c>
      <c r="D69" s="2">
        <v>50997</v>
      </c>
      <c r="E69" s="4">
        <v>0.11085380351278799</v>
      </c>
      <c r="F69" s="62">
        <f t="shared" si="7"/>
        <v>95.941543666301058</v>
      </c>
      <c r="G69" s="62">
        <f t="shared" si="8"/>
        <v>95.874822640337868</v>
      </c>
      <c r="H69">
        <f t="shared" si="9"/>
        <v>96.008333051037511</v>
      </c>
      <c r="I69">
        <f t="shared" si="10"/>
        <v>35.625220655272713</v>
      </c>
      <c r="J69" s="4"/>
      <c r="K69" s="107">
        <v>5.2085966507492296E-2</v>
      </c>
    </row>
    <row r="70" spans="2:11" x14ac:dyDescent="0.25">
      <c r="B70" s="1" t="s">
        <v>4</v>
      </c>
      <c r="C70" t="s">
        <v>157</v>
      </c>
      <c r="D70" s="2">
        <v>51502</v>
      </c>
      <c r="E70" s="4">
        <v>0.11116702213679901</v>
      </c>
      <c r="F70" s="62">
        <f t="shared" si="7"/>
        <v>106.28649132412258</v>
      </c>
      <c r="G70" s="62">
        <f t="shared" si="8"/>
        <v>106.21145429743702</v>
      </c>
      <c r="H70">
        <f t="shared" si="9"/>
        <v>106.36160903315408</v>
      </c>
      <c r="I70">
        <f t="shared" si="10"/>
        <v>37.955127184622896</v>
      </c>
      <c r="J70" s="4"/>
      <c r="K70" s="153">
        <v>4.5019240928813155E-6</v>
      </c>
    </row>
    <row r="71" spans="2:11" x14ac:dyDescent="0.25">
      <c r="B71" s="1" t="s">
        <v>3</v>
      </c>
      <c r="C71" t="s">
        <v>152</v>
      </c>
      <c r="D71" s="2">
        <v>52383</v>
      </c>
      <c r="E71" s="4">
        <v>0.112099366955384</v>
      </c>
      <c r="F71" s="62">
        <f t="shared" si="7"/>
        <v>83.313502891757295</v>
      </c>
      <c r="G71" s="62">
        <f t="shared" si="8"/>
        <v>83.248040340195303</v>
      </c>
      <c r="H71">
        <f t="shared" si="9"/>
        <v>83.379045801080196</v>
      </c>
      <c r="I71">
        <f t="shared" si="10"/>
        <v>48.226132690668472</v>
      </c>
      <c r="J71" s="4"/>
      <c r="K71" s="107">
        <v>4.5137392909459811E-2</v>
      </c>
    </row>
    <row r="72" spans="2:11" x14ac:dyDescent="0.25">
      <c r="B72" s="1" t="s">
        <v>2</v>
      </c>
      <c r="C72" t="s">
        <v>165</v>
      </c>
      <c r="D72" s="2">
        <v>52597</v>
      </c>
      <c r="E72" s="4">
        <v>0.112394994726186</v>
      </c>
      <c r="F72" s="62">
        <f t="shared" si="7"/>
        <v>117.1635884218753</v>
      </c>
      <c r="G72" s="62">
        <f t="shared" si="8"/>
        <v>117.07703451374095</v>
      </c>
      <c r="H72">
        <f t="shared" si="9"/>
        <v>117.2502449338443</v>
      </c>
      <c r="I72">
        <f t="shared" si="10"/>
        <v>43.786570567750893</v>
      </c>
      <c r="J72" s="4"/>
      <c r="K72" s="107">
        <v>4.8628534537090463E-2</v>
      </c>
    </row>
    <row r="73" spans="2:11" x14ac:dyDescent="0.25">
      <c r="B73" s="1" t="s">
        <v>1</v>
      </c>
      <c r="C73" t="s">
        <v>165</v>
      </c>
      <c r="D73" s="2">
        <v>52749</v>
      </c>
      <c r="E73" s="4">
        <v>0.112616322642629</v>
      </c>
      <c r="F73" s="62">
        <f t="shared" si="7"/>
        <v>117.11145295361506</v>
      </c>
      <c r="G73" s="62">
        <f t="shared" si="8"/>
        <v>117.02434771183475</v>
      </c>
      <c r="H73">
        <f t="shared" si="9"/>
        <v>117.19866281837062</v>
      </c>
      <c r="I73">
        <f t="shared" si="10"/>
        <v>44.668122815081951</v>
      </c>
      <c r="J73" s="4"/>
      <c r="K73" s="107">
        <v>4.4024707327108399E-2</v>
      </c>
    </row>
    <row r="74" spans="2:11" x14ac:dyDescent="0.25">
      <c r="B74" s="1" t="s">
        <v>0</v>
      </c>
      <c r="C74" t="s">
        <v>166</v>
      </c>
      <c r="D74" s="2">
        <v>53022</v>
      </c>
      <c r="E74" s="4">
        <v>0.113022826552336</v>
      </c>
      <c r="F74" s="62">
        <f t="shared" si="7"/>
        <v>109.23060124873358</v>
      </c>
      <c r="G74" s="62">
        <f t="shared" si="8"/>
        <v>109.14745000016656</v>
      </c>
      <c r="H74">
        <f t="shared" si="9"/>
        <v>109.31385560445717</v>
      </c>
      <c r="I74">
        <f t="shared" si="10"/>
        <v>47.197010451976503</v>
      </c>
      <c r="J74" s="4"/>
      <c r="K74" s="109">
        <v>0.16497077621724196</v>
      </c>
    </row>
    <row r="75" spans="2:11" x14ac:dyDescent="0.25">
      <c r="I75" s="66">
        <f>SUMPRODUCT(I18:I74,K18:K74)</f>
        <v>26.332794071786505</v>
      </c>
      <c r="J75" s="71"/>
      <c r="K75" s="72">
        <f>SUM(K18:K74)</f>
        <v>1.0000000000000919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C0D0-72F9-4529-BF5B-4964967BD23F}">
  <dimension ref="B2:E27"/>
  <sheetViews>
    <sheetView workbookViewId="0">
      <selection activeCell="E9" sqref="E9"/>
    </sheetView>
  </sheetViews>
  <sheetFormatPr defaultRowHeight="13.2" x14ac:dyDescent="0.25"/>
  <cols>
    <col min="2" max="2" width="16.5546875" customWidth="1"/>
    <col min="3" max="3" width="20" customWidth="1"/>
    <col min="4" max="4" width="15.44140625" customWidth="1"/>
    <col min="5" max="5" width="17.109375" customWidth="1"/>
  </cols>
  <sheetData>
    <row r="2" spans="2:5" ht="14.4" x14ac:dyDescent="0.25">
      <c r="B2" s="86" t="s">
        <v>181</v>
      </c>
      <c r="C2" s="86" t="s">
        <v>182</v>
      </c>
      <c r="D2" s="95" t="s">
        <v>185</v>
      </c>
      <c r="E2" s="95" t="s">
        <v>186</v>
      </c>
    </row>
    <row r="3" spans="2:5" x14ac:dyDescent="0.25">
      <c r="B3" s="88">
        <v>5.8828895882836933</v>
      </c>
      <c r="C3" s="88">
        <v>5.8828841692607616</v>
      </c>
      <c r="D3" s="94">
        <v>26.332854447881797</v>
      </c>
      <c r="E3" s="94">
        <v>20.462172766214465</v>
      </c>
    </row>
    <row r="8" spans="2:5" x14ac:dyDescent="0.25">
      <c r="D8" s="3"/>
      <c r="E8" s="3"/>
    </row>
    <row r="19" spans="2:5" x14ac:dyDescent="0.25">
      <c r="B19" s="69"/>
    </row>
    <row r="27" spans="2:5" x14ac:dyDescent="0.25">
      <c r="B27" s="3"/>
      <c r="C27" s="3"/>
      <c r="D27" s="3"/>
      <c r="E27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515A-EAB6-4E7B-A845-8A5FA7DA0323}">
  <dimension ref="A1:N76"/>
  <sheetViews>
    <sheetView tabSelected="1" topLeftCell="E38" zoomScale="115" zoomScaleNormal="115" workbookViewId="0">
      <selection activeCell="J4" sqref="J4"/>
    </sheetView>
  </sheetViews>
  <sheetFormatPr defaultRowHeight="13.2" x14ac:dyDescent="0.25"/>
  <cols>
    <col min="1" max="1" width="13.21875" customWidth="1"/>
    <col min="2" max="3" width="10.88671875" customWidth="1"/>
    <col min="4" max="4" width="15.33203125" customWidth="1"/>
    <col min="5" max="6" width="18.109375" customWidth="1"/>
    <col min="7" max="7" width="17.6640625" customWidth="1"/>
    <col min="8" max="8" width="17.33203125" customWidth="1"/>
    <col min="9" max="9" width="9.21875" bestFit="1" customWidth="1"/>
    <col min="10" max="10" width="23.6640625" customWidth="1"/>
    <col min="12" max="12" width="11.109375" customWidth="1"/>
    <col min="13" max="13" width="16.6640625" customWidth="1"/>
    <col min="14" max="14" width="20.33203125" customWidth="1"/>
  </cols>
  <sheetData>
    <row r="1" spans="1:14" ht="13.8" x14ac:dyDescent="0.25">
      <c r="A1" s="80" t="s">
        <v>84</v>
      </c>
      <c r="B1" s="48">
        <v>46133</v>
      </c>
    </row>
    <row r="2" spans="1:14" x14ac:dyDescent="0.25">
      <c r="A2" s="80" t="s">
        <v>167</v>
      </c>
      <c r="B2" s="72">
        <v>0</v>
      </c>
    </row>
    <row r="4" spans="1:14" x14ac:dyDescent="0.25">
      <c r="A4" s="110" t="s">
        <v>83</v>
      </c>
      <c r="B4" s="110" t="s">
        <v>86</v>
      </c>
      <c r="C4" s="110" t="s">
        <v>140</v>
      </c>
      <c r="D4" s="110" t="s">
        <v>80</v>
      </c>
      <c r="E4" s="110" t="s">
        <v>134</v>
      </c>
      <c r="F4" s="111" t="s">
        <v>78</v>
      </c>
      <c r="G4" s="110" t="s">
        <v>168</v>
      </c>
      <c r="I4" s="66" t="s">
        <v>75</v>
      </c>
      <c r="J4" s="178">
        <f>H76-G15</f>
        <v>2.9802322387695313E-5</v>
      </c>
      <c r="L4" s="114" t="s">
        <v>167</v>
      </c>
      <c r="M4" s="114" t="s">
        <v>78</v>
      </c>
      <c r="N4" s="114" t="s">
        <v>75</v>
      </c>
    </row>
    <row r="5" spans="1:14" x14ac:dyDescent="0.25">
      <c r="A5" t="s">
        <v>74</v>
      </c>
      <c r="B5" s="2">
        <v>46874</v>
      </c>
      <c r="C5" s="73">
        <v>0</v>
      </c>
      <c r="D5" s="6">
        <v>9.0999999999999998E-2</v>
      </c>
      <c r="E5" s="7">
        <v>45256564</v>
      </c>
      <c r="F5" s="5">
        <v>37784858.753662162</v>
      </c>
      <c r="G5" s="63">
        <f t="shared" ref="G5:G14" si="0">PRICE($B$1,B5,0,D5+$B$2,E5,2,1)</f>
        <v>37784858.753662162</v>
      </c>
      <c r="L5" s="8"/>
      <c r="M5" s="63">
        <f>G15</f>
        <v>324426956.01452488</v>
      </c>
      <c r="N5" s="63">
        <f>J4</f>
        <v>2.9802322387695313E-5</v>
      </c>
    </row>
    <row r="6" spans="1:14" x14ac:dyDescent="0.25">
      <c r="A6" t="s">
        <v>73</v>
      </c>
      <c r="B6" s="2">
        <v>47239</v>
      </c>
      <c r="C6" s="73">
        <v>0</v>
      </c>
      <c r="D6" s="6">
        <v>9.7000000000000003E-2</v>
      </c>
      <c r="E6" s="7">
        <v>61203541</v>
      </c>
      <c r="F6" s="5">
        <v>45944080.376714341</v>
      </c>
      <c r="G6" s="63">
        <f t="shared" si="0"/>
        <v>45944080.376714349</v>
      </c>
      <c r="L6" s="4">
        <v>-0.05</v>
      </c>
      <c r="M6" s="63">
        <f t="dataTable" ref="M6:N68" dt2D="0" dtr="0" r1="B2"/>
        <v>434447157.86585891</v>
      </c>
      <c r="N6" s="63">
        <v>9465365.9625680447</v>
      </c>
    </row>
    <row r="7" spans="1:14" x14ac:dyDescent="0.25">
      <c r="A7" t="s">
        <v>72</v>
      </c>
      <c r="B7" s="2">
        <v>47665</v>
      </c>
      <c r="C7" s="73">
        <v>0</v>
      </c>
      <c r="D7" s="6">
        <v>9.9299999999999999E-2</v>
      </c>
      <c r="E7" s="7">
        <v>87456123</v>
      </c>
      <c r="F7" s="5">
        <v>58234333.745640181</v>
      </c>
      <c r="G7" s="63">
        <f t="shared" si="0"/>
        <v>58234333.745640181</v>
      </c>
      <c r="L7" s="4">
        <v>-4.7500000000000001E-2</v>
      </c>
      <c r="M7" s="63">
        <v>427890340.30477214</v>
      </c>
      <c r="N7" s="63">
        <v>8508846.449041903</v>
      </c>
    </row>
    <row r="8" spans="1:14" x14ac:dyDescent="0.25">
      <c r="A8" t="s">
        <v>71</v>
      </c>
      <c r="B8" s="2">
        <v>47983</v>
      </c>
      <c r="C8" s="73">
        <v>0</v>
      </c>
      <c r="D8" s="6">
        <v>0.10050000000000001</v>
      </c>
      <c r="E8" s="7">
        <v>62235132</v>
      </c>
      <c r="F8" s="5">
        <v>37869133.920786284</v>
      </c>
      <c r="G8" s="63">
        <f t="shared" si="0"/>
        <v>37869133.920786284</v>
      </c>
      <c r="L8" s="4">
        <v>-4.4999999999999998E-2</v>
      </c>
      <c r="M8" s="63">
        <v>421460029.96411395</v>
      </c>
      <c r="N8" s="63">
        <v>7620643.5306954384</v>
      </c>
    </row>
    <row r="9" spans="1:14" x14ac:dyDescent="0.25">
      <c r="A9" t="s">
        <v>70</v>
      </c>
      <c r="B9" s="2">
        <v>48396</v>
      </c>
      <c r="C9" s="73">
        <v>0</v>
      </c>
      <c r="D9" s="6">
        <v>0.1031</v>
      </c>
      <c r="E9" s="7">
        <v>29568423</v>
      </c>
      <c r="F9" s="5">
        <v>15860099.554182114</v>
      </c>
      <c r="G9" s="63">
        <f t="shared" si="0"/>
        <v>15860099.554182114</v>
      </c>
      <c r="L9" s="4">
        <v>-4.2500000000000003E-2</v>
      </c>
      <c r="M9" s="63">
        <v>415153389.99232638</v>
      </c>
      <c r="N9" s="63">
        <v>6797220.5261069536</v>
      </c>
    </row>
    <row r="10" spans="1:14" x14ac:dyDescent="0.25">
      <c r="A10" t="s">
        <v>69</v>
      </c>
      <c r="B10" s="2">
        <v>48731</v>
      </c>
      <c r="C10" s="73">
        <v>0</v>
      </c>
      <c r="D10" s="6">
        <v>0.1057</v>
      </c>
      <c r="E10" s="7">
        <v>38325789</v>
      </c>
      <c r="F10" s="5">
        <v>18421350.940494489</v>
      </c>
      <c r="G10" s="63">
        <f t="shared" si="0"/>
        <v>18421350.940494489</v>
      </c>
      <c r="L10" s="4">
        <v>-0.04</v>
      </c>
      <c r="M10" s="63">
        <v>408967653.92683566</v>
      </c>
      <c r="N10" s="63">
        <v>6035212.1157202721</v>
      </c>
    </row>
    <row r="11" spans="1:14" x14ac:dyDescent="0.25">
      <c r="A11" t="s">
        <v>68</v>
      </c>
      <c r="B11" s="2">
        <v>49202</v>
      </c>
      <c r="C11" s="73">
        <v>0</v>
      </c>
      <c r="D11" s="6">
        <v>0.1085</v>
      </c>
      <c r="E11" s="7">
        <v>97235165</v>
      </c>
      <c r="F11" s="5">
        <v>40030927.391184911</v>
      </c>
      <c r="G11" s="63">
        <f t="shared" si="0"/>
        <v>40030927.391184911</v>
      </c>
      <c r="L11" s="4">
        <v>-3.7499999999999999E-2</v>
      </c>
      <c r="M11" s="63">
        <v>402900123.8102988</v>
      </c>
      <c r="N11" s="63">
        <v>5331416.1091974378</v>
      </c>
    </row>
    <row r="12" spans="1:14" x14ac:dyDescent="0.25">
      <c r="A12" t="s">
        <v>67</v>
      </c>
      <c r="B12" s="2">
        <v>49475</v>
      </c>
      <c r="C12" s="73">
        <v>0</v>
      </c>
      <c r="D12" s="6">
        <v>0.1094</v>
      </c>
      <c r="E12" s="7">
        <v>89456789</v>
      </c>
      <c r="F12" s="5">
        <v>33752252.437049255</v>
      </c>
      <c r="G12" s="63">
        <f t="shared" si="0"/>
        <v>33752252.437049255</v>
      </c>
      <c r="L12" s="4">
        <v>-3.5000000000000003E-2</v>
      </c>
      <c r="M12" s="63">
        <v>396948168.36045861</v>
      </c>
      <c r="N12" s="63">
        <v>4682785.6124998927</v>
      </c>
    </row>
    <row r="13" spans="1:14" x14ac:dyDescent="0.25">
      <c r="A13" t="s">
        <v>66</v>
      </c>
      <c r="B13" s="2">
        <v>49902</v>
      </c>
      <c r="C13" s="73">
        <v>0</v>
      </c>
      <c r="D13" s="6">
        <v>0.11</v>
      </c>
      <c r="E13" s="7">
        <v>90125478</v>
      </c>
      <c r="F13" s="5">
        <v>29846695.825138964</v>
      </c>
      <c r="G13" s="63">
        <f t="shared" si="0"/>
        <v>29846695.825138964</v>
      </c>
      <c r="L13" s="4">
        <v>-3.2500000000000001E-2</v>
      </c>
      <c r="M13" s="63">
        <v>391109221.19200408</v>
      </c>
      <c r="N13" s="63">
        <v>4086421.5749250054</v>
      </c>
    </row>
    <row r="14" spans="1:14" x14ac:dyDescent="0.25">
      <c r="A14" t="s">
        <v>65</v>
      </c>
      <c r="B14" s="2">
        <v>50222</v>
      </c>
      <c r="C14" s="73">
        <v>0</v>
      </c>
      <c r="D14" s="6">
        <v>0.1104</v>
      </c>
      <c r="E14" s="7">
        <v>22258946</v>
      </c>
      <c r="F14" s="5">
        <v>6683223.0696721002</v>
      </c>
      <c r="G14" s="63">
        <f t="shared" si="0"/>
        <v>6683223.0696721002</v>
      </c>
      <c r="L14" s="4">
        <v>-0.03</v>
      </c>
      <c r="M14" s="63">
        <v>385380779.08887345</v>
      </c>
      <c r="N14" s="63">
        <v>3539565.6973410845</v>
      </c>
    </row>
    <row r="15" spans="1:14" x14ac:dyDescent="0.25">
      <c r="E15" s="68">
        <v>324426956.01452482</v>
      </c>
      <c r="F15" s="67">
        <f>SUM(G5:G14)</f>
        <v>324426956.01452488</v>
      </c>
      <c r="G15" s="67">
        <f>SUM(G5:G14)</f>
        <v>324426956.01452488</v>
      </c>
      <c r="L15" s="4">
        <v>-2.75E-2</v>
      </c>
      <c r="M15" s="63">
        <v>379760400.32549262</v>
      </c>
      <c r="N15" s="63">
        <v>3039593.6837930679</v>
      </c>
    </row>
    <row r="16" spans="1:14" x14ac:dyDescent="0.25">
      <c r="L16" s="4">
        <v>-2.5000000000000001E-2</v>
      </c>
      <c r="M16" s="63">
        <v>374245703.03548622</v>
      </c>
      <c r="N16" s="63">
        <v>2584008.8195623755</v>
      </c>
    </row>
    <row r="17" spans="1:14" x14ac:dyDescent="0.25">
      <c r="L17" s="4">
        <v>-2.2499999999999999E-2</v>
      </c>
      <c r="M17" s="63">
        <v>368834363.62644774</v>
      </c>
      <c r="N17" s="63">
        <v>2170435.8596070409</v>
      </c>
    </row>
    <row r="18" spans="1:14" x14ac:dyDescent="0.25">
      <c r="A18" s="89" t="s">
        <v>139</v>
      </c>
      <c r="B18" s="89" t="s">
        <v>86</v>
      </c>
      <c r="C18" s="89" t="s">
        <v>140</v>
      </c>
      <c r="D18" s="89" t="s">
        <v>80</v>
      </c>
      <c r="E18" s="89" t="s">
        <v>134</v>
      </c>
      <c r="F18" s="89" t="s">
        <v>169</v>
      </c>
      <c r="G18" s="89" t="s">
        <v>168</v>
      </c>
      <c r="H18" s="89" t="s">
        <v>54</v>
      </c>
      <c r="I18" s="112" t="s">
        <v>56</v>
      </c>
      <c r="J18" s="145"/>
      <c r="L18" s="4">
        <v>-0.02</v>
      </c>
      <c r="M18" s="63">
        <v>363524115.23939312</v>
      </c>
      <c r="N18" s="63">
        <v>1796615.2121223211</v>
      </c>
    </row>
    <row r="19" spans="1:14" x14ac:dyDescent="0.25">
      <c r="A19" s="90" t="s">
        <v>192</v>
      </c>
      <c r="B19" s="96">
        <v>46224</v>
      </c>
      <c r="C19" s="155">
        <v>0</v>
      </c>
      <c r="D19" s="4">
        <v>8.3560474057780998E-2</v>
      </c>
      <c r="E19" s="130">
        <v>55037.736109450438</v>
      </c>
      <c r="F19" s="101">
        <v>97.887776905761655</v>
      </c>
      <c r="G19" s="63">
        <f>TBILLPRICE($B$1,B19,D19+$B$2)</f>
        <v>97.887776905761655</v>
      </c>
      <c r="H19" s="63">
        <f>E19/F19*G19</f>
        <v>55037.736109450445</v>
      </c>
      <c r="I19" s="134">
        <v>1.6964600224830381E-4</v>
      </c>
      <c r="L19" s="4">
        <v>-1.7500000000000002E-2</v>
      </c>
      <c r="M19" s="63">
        <v>358312746.25157034</v>
      </c>
      <c r="N19" s="63">
        <v>1460397.4027270675</v>
      </c>
    </row>
    <row r="20" spans="1:14" x14ac:dyDescent="0.25">
      <c r="A20" s="90" t="s">
        <v>193</v>
      </c>
      <c r="B20" s="96">
        <v>46316</v>
      </c>
      <c r="C20" s="155">
        <v>0</v>
      </c>
      <c r="D20" s="4">
        <v>8.3464065730040907E-2</v>
      </c>
      <c r="E20" s="130">
        <v>54044.557609324736</v>
      </c>
      <c r="F20" s="101">
        <v>95.757243325389581</v>
      </c>
      <c r="G20" s="63">
        <f t="shared" ref="G20:G21" si="1">TBILLPRICE($B$1,B20,D20+$B$2)</f>
        <v>95.757243325389581</v>
      </c>
      <c r="H20" s="63">
        <f t="shared" ref="H20:H21" si="2">E20/F20*G20</f>
        <v>54044.557609324736</v>
      </c>
      <c r="I20" s="134">
        <v>1.6658467062430265E-4</v>
      </c>
      <c r="L20" s="4">
        <v>-1.4999999999999999E-2</v>
      </c>
      <c r="M20" s="63">
        <v>353198098.82134193</v>
      </c>
      <c r="N20" s="63">
        <v>1159737.8055015206</v>
      </c>
    </row>
    <row r="21" spans="1:14" x14ac:dyDescent="0.25">
      <c r="A21" s="90" t="s">
        <v>194</v>
      </c>
      <c r="B21" s="96">
        <v>46498</v>
      </c>
      <c r="C21" s="155">
        <v>0</v>
      </c>
      <c r="D21" s="4">
        <v>8.4732420634920702E-2</v>
      </c>
      <c r="E21" s="130">
        <v>52117.571594048975</v>
      </c>
      <c r="F21" s="101">
        <v>91.40907401895943</v>
      </c>
      <c r="G21" s="63">
        <f t="shared" si="1"/>
        <v>91.40907401895943</v>
      </c>
      <c r="H21" s="63">
        <f t="shared" si="2"/>
        <v>52117.571594048975</v>
      </c>
      <c r="I21" s="134">
        <v>1.6064501000254627E-4</v>
      </c>
      <c r="L21" s="4">
        <v>-1.2500000000000001E-2</v>
      </c>
      <c r="M21" s="63">
        <v>348178067.47388357</v>
      </c>
      <c r="N21" s="63">
        <v>892691.6278064847</v>
      </c>
    </row>
    <row r="22" spans="1:14" x14ac:dyDescent="0.25">
      <c r="A22" s="1" t="s">
        <v>53</v>
      </c>
      <c r="B22" s="2">
        <v>46157</v>
      </c>
      <c r="C22" s="156">
        <v>0.22500000000000001</v>
      </c>
      <c r="D22" s="4">
        <v>8.40113958373577E-2</v>
      </c>
      <c r="E22" s="63">
        <v>685042.80234322674</v>
      </c>
      <c r="F22" s="7">
        <v>100.87550281983593</v>
      </c>
      <c r="G22" s="63">
        <f>PRICE($B$1,B22,C22,D22+$B$2,100,2,1)</f>
        <v>100.87550281983593</v>
      </c>
      <c r="H22" s="63">
        <f>E22/F22*G22</f>
        <v>685042.80234322674</v>
      </c>
      <c r="I22" s="98">
        <v>2.1115471129734267E-3</v>
      </c>
      <c r="L22" s="4">
        <v>-0.01</v>
      </c>
      <c r="M22" s="63">
        <v>343250597.72650009</v>
      </c>
      <c r="N22" s="63">
        <v>657409.13645088673</v>
      </c>
    </row>
    <row r="23" spans="1:14" x14ac:dyDescent="0.25">
      <c r="A23" s="1" t="s">
        <v>52</v>
      </c>
      <c r="B23" s="2">
        <v>46174</v>
      </c>
      <c r="C23" s="156">
        <v>0.11</v>
      </c>
      <c r="D23" s="4">
        <v>8.3882039216594304E-2</v>
      </c>
      <c r="E23" s="63">
        <v>680588.2759784162</v>
      </c>
      <c r="F23" s="7">
        <v>100.25155021572614</v>
      </c>
      <c r="G23" s="63">
        <f t="shared" ref="G23:G75" si="3">PRICE($B$1,B23,C23,D23+$B$2,100,2,1)</f>
        <v>100.25155021572614</v>
      </c>
      <c r="H23" s="63">
        <f t="shared" ref="H23:H75" si="4">E23/F23*G23</f>
        <v>680588.2759784162</v>
      </c>
      <c r="I23" s="98">
        <v>2.0978166683163829E-3</v>
      </c>
      <c r="L23" s="4">
        <v>-7.4999999999999997E-3</v>
      </c>
      <c r="M23" s="63">
        <v>338413684.7523815</v>
      </c>
      <c r="N23" s="63">
        <v>452131.11340767145</v>
      </c>
    </row>
    <row r="24" spans="1:14" x14ac:dyDescent="0.25">
      <c r="A24" s="1" t="s">
        <v>51</v>
      </c>
      <c r="B24" s="2">
        <v>46235</v>
      </c>
      <c r="C24" s="157" t="s">
        <v>143</v>
      </c>
      <c r="D24" s="4">
        <v>8.3517115233723904E-2</v>
      </c>
      <c r="E24" s="63">
        <v>664347.07196066901</v>
      </c>
      <c r="F24" s="7">
        <v>100.80899063840252</v>
      </c>
      <c r="G24" s="63">
        <f t="shared" si="3"/>
        <v>100.80899063840252</v>
      </c>
      <c r="H24" s="63">
        <f t="shared" si="4"/>
        <v>664347.07196066901</v>
      </c>
      <c r="I24" s="98">
        <v>2.0477554643484239E-3</v>
      </c>
      <c r="L24" s="4">
        <v>-5.0000000000000001E-3</v>
      </c>
      <c r="M24" s="63">
        <v>333665372.08166683</v>
      </c>
      <c r="N24" s="63">
        <v>275184.52986508608</v>
      </c>
    </row>
    <row r="25" spans="1:14" x14ac:dyDescent="0.25">
      <c r="A25" s="1" t="s">
        <v>50</v>
      </c>
      <c r="B25" s="2">
        <v>46371</v>
      </c>
      <c r="C25" s="157" t="s">
        <v>144</v>
      </c>
      <c r="D25" s="4">
        <v>8.3649056659922699E-2</v>
      </c>
      <c r="E25" s="63">
        <v>631584.52450654644</v>
      </c>
      <c r="F25" s="7">
        <v>101.76766234625684</v>
      </c>
      <c r="G25" s="63">
        <f t="shared" si="3"/>
        <v>101.76766234625684</v>
      </c>
      <c r="H25" s="63">
        <f t="shared" si="4"/>
        <v>631584.52450654644</v>
      </c>
      <c r="I25" s="98">
        <v>1.9467695664544902E-3</v>
      </c>
      <c r="L25" s="4">
        <v>-2.5000000000000001E-3</v>
      </c>
      <c r="M25" s="63">
        <v>329003750.33871621</v>
      </c>
      <c r="N25" s="63">
        <v>124978.42795407772</v>
      </c>
    </row>
    <row r="26" spans="1:14" x14ac:dyDescent="0.25">
      <c r="A26" s="1" t="s">
        <v>49</v>
      </c>
      <c r="B26" s="2">
        <v>46402</v>
      </c>
      <c r="C26" s="157" t="s">
        <v>145</v>
      </c>
      <c r="D26" s="4">
        <v>8.3848687277853801E-2</v>
      </c>
      <c r="E26" s="63">
        <v>623631.50305271603</v>
      </c>
      <c r="F26" s="7">
        <v>102.07699064470017</v>
      </c>
      <c r="G26" s="63">
        <f t="shared" si="3"/>
        <v>102.07699064470017</v>
      </c>
      <c r="H26" s="63">
        <f t="shared" si="4"/>
        <v>623631.50305271603</v>
      </c>
      <c r="I26" s="98">
        <v>1.9222555077229638E-3</v>
      </c>
      <c r="L26" s="4">
        <v>0</v>
      </c>
      <c r="M26" s="63">
        <v>324426956.01452488</v>
      </c>
      <c r="N26" s="63">
        <v>2.9802322387695313E-5</v>
      </c>
    </row>
    <row r="27" spans="1:14" x14ac:dyDescent="0.25">
      <c r="A27" s="1" t="s">
        <v>48</v>
      </c>
      <c r="B27" s="2">
        <v>46508</v>
      </c>
      <c r="C27" s="157" t="s">
        <v>146</v>
      </c>
      <c r="D27" s="4">
        <v>8.4860652826682897E-2</v>
      </c>
      <c r="E27" s="63">
        <v>603869.01496779872</v>
      </c>
      <c r="F27" s="7">
        <v>109.16771716971725</v>
      </c>
      <c r="G27" s="63">
        <f t="shared" si="3"/>
        <v>109.16771716971725</v>
      </c>
      <c r="H27" s="63">
        <f t="shared" si="4"/>
        <v>603869.01496779872</v>
      </c>
      <c r="I27" s="98">
        <v>1.8613404458930442E-3</v>
      </c>
      <c r="L27" s="4">
        <v>2.5000000000000001E-3</v>
      </c>
      <c r="M27" s="63">
        <v>319933170.27324617</v>
      </c>
      <c r="N27" s="63">
        <v>-101189.14411389828</v>
      </c>
    </row>
    <row r="28" spans="1:14" x14ac:dyDescent="0.25">
      <c r="A28" s="1" t="s">
        <v>47</v>
      </c>
      <c r="B28" s="2">
        <v>46553</v>
      </c>
      <c r="C28" s="157" t="s">
        <v>147</v>
      </c>
      <c r="D28" s="4">
        <v>8.5421021462811497E-2</v>
      </c>
      <c r="E28" s="63">
        <v>589017.28103102033</v>
      </c>
      <c r="F28" s="7">
        <v>103.42132234216815</v>
      </c>
      <c r="G28" s="63">
        <f t="shared" si="3"/>
        <v>103.42132234216815</v>
      </c>
      <c r="H28" s="63">
        <f t="shared" si="4"/>
        <v>589017.28103102033</v>
      </c>
      <c r="I28" s="98">
        <v>1.8155620860451855E-3</v>
      </c>
      <c r="L28" s="4">
        <v>5.0000000000000001E-3</v>
      </c>
      <c r="M28" s="63">
        <v>315520617.79182523</v>
      </c>
      <c r="N28" s="63">
        <v>-179956.53124254942</v>
      </c>
    </row>
    <row r="29" spans="1:14" x14ac:dyDescent="0.25">
      <c r="A29" s="1" t="s">
        <v>46</v>
      </c>
      <c r="B29" s="2">
        <v>46614</v>
      </c>
      <c r="C29" s="157" t="s">
        <v>148</v>
      </c>
      <c r="D29" s="4">
        <v>8.6330065444057594E-2</v>
      </c>
      <c r="E29" s="63">
        <v>570725.85350304854</v>
      </c>
      <c r="F29" s="7">
        <v>98.962128786302685</v>
      </c>
      <c r="G29" s="63">
        <f t="shared" si="3"/>
        <v>98.962128786302685</v>
      </c>
      <c r="H29" s="63">
        <f t="shared" si="4"/>
        <v>570725.85350304854</v>
      </c>
      <c r="I29" s="98">
        <v>1.7591813593858603E-3</v>
      </c>
      <c r="L29" s="4">
        <v>7.5000000000001003E-3</v>
      </c>
      <c r="M29" s="63">
        <v>311187565.6317687</v>
      </c>
      <c r="N29" s="63">
        <v>-237602.2085775733</v>
      </c>
    </row>
    <row r="30" spans="1:14" x14ac:dyDescent="0.25">
      <c r="A30" s="1" t="s">
        <v>45</v>
      </c>
      <c r="B30" s="2">
        <v>46645</v>
      </c>
      <c r="C30" s="157" t="s">
        <v>149</v>
      </c>
      <c r="D30" s="4">
        <v>8.6797664448706596E-2</v>
      </c>
      <c r="E30" s="63">
        <v>569546.85474795382</v>
      </c>
      <c r="F30" s="7">
        <v>114.58753375615322</v>
      </c>
      <c r="G30" s="63">
        <f t="shared" si="3"/>
        <v>114.58753375615322</v>
      </c>
      <c r="H30" s="63">
        <f t="shared" si="4"/>
        <v>569546.85474795382</v>
      </c>
      <c r="I30" s="98">
        <v>1.7555472632257317E-3</v>
      </c>
      <c r="L30" s="4">
        <v>1.0000000000000101E-2</v>
      </c>
      <c r="M30" s="63">
        <v>306932322.14211625</v>
      </c>
      <c r="N30" s="63">
        <v>-275361.9658536911</v>
      </c>
    </row>
    <row r="31" spans="1:14" x14ac:dyDescent="0.25">
      <c r="A31" s="1" t="s">
        <v>44</v>
      </c>
      <c r="B31" s="2">
        <v>46675</v>
      </c>
      <c r="C31" s="157" t="s">
        <v>150</v>
      </c>
      <c r="D31" s="4">
        <v>8.7286796443576106E-2</v>
      </c>
      <c r="E31" s="63">
        <v>556776.64291515108</v>
      </c>
      <c r="F31" s="7">
        <v>102.13962799103653</v>
      </c>
      <c r="G31" s="63">
        <f t="shared" si="3"/>
        <v>102.13962799103653</v>
      </c>
      <c r="H31" s="63">
        <f t="shared" si="4"/>
        <v>556776.64291515108</v>
      </c>
      <c r="I31" s="98">
        <v>1.7161848995378296E-3</v>
      </c>
      <c r="L31" s="4">
        <v>1.25000000000001E-2</v>
      </c>
      <c r="M31" s="63">
        <v>302753235.89269608</v>
      </c>
      <c r="N31" s="63">
        <v>-294410.40338426828</v>
      </c>
    </row>
    <row r="32" spans="1:14" x14ac:dyDescent="0.25">
      <c r="A32" s="1" t="s">
        <v>43</v>
      </c>
      <c r="B32" s="2">
        <v>46736</v>
      </c>
      <c r="C32" s="157" t="s">
        <v>144</v>
      </c>
      <c r="D32" s="4">
        <v>8.8384590542223404E-2</v>
      </c>
      <c r="E32" s="63">
        <v>548545.0513376944</v>
      </c>
      <c r="F32" s="7">
        <v>103.60509580952807</v>
      </c>
      <c r="G32" s="63">
        <f t="shared" si="3"/>
        <v>103.60509580952807</v>
      </c>
      <c r="H32" s="63">
        <f t="shared" si="4"/>
        <v>548545.0513376944</v>
      </c>
      <c r="I32" s="98">
        <v>1.6908121879771782E-3</v>
      </c>
      <c r="L32" s="4">
        <v>1.50000000000001E-2</v>
      </c>
      <c r="M32" s="63">
        <v>298648694.63678759</v>
      </c>
      <c r="N32" s="63">
        <v>-295863.85359734297</v>
      </c>
    </row>
    <row r="33" spans="1:14" x14ac:dyDescent="0.25">
      <c r="A33" s="1" t="s">
        <v>42</v>
      </c>
      <c r="B33" s="2">
        <v>46767</v>
      </c>
      <c r="C33" s="157" t="s">
        <v>146</v>
      </c>
      <c r="D33" s="4">
        <v>8.89904881240796E-2</v>
      </c>
      <c r="E33" s="63">
        <v>546848.32828687131</v>
      </c>
      <c r="F33" s="7">
        <v>114.28837559304687</v>
      </c>
      <c r="G33" s="63">
        <f t="shared" si="3"/>
        <v>114.28837559304687</v>
      </c>
      <c r="H33" s="63">
        <f t="shared" si="4"/>
        <v>546848.32828687131</v>
      </c>
      <c r="I33" s="98">
        <v>1.685582280229478E-3</v>
      </c>
      <c r="L33" s="4">
        <v>1.7500000000000099E-2</v>
      </c>
      <c r="M33" s="63">
        <v>294617124.30232936</v>
      </c>
      <c r="N33" s="63">
        <v>-280783.16313558817</v>
      </c>
    </row>
    <row r="34" spans="1:14" x14ac:dyDescent="0.25">
      <c r="A34" s="1" t="s">
        <v>41</v>
      </c>
      <c r="B34" s="2">
        <v>46798</v>
      </c>
      <c r="C34" s="157" t="s">
        <v>151</v>
      </c>
      <c r="D34" s="4">
        <v>8.95391050044331E-2</v>
      </c>
      <c r="E34" s="63">
        <v>532102.96958886052</v>
      </c>
      <c r="F34" s="7">
        <v>102.92957789822663</v>
      </c>
      <c r="G34" s="63">
        <f t="shared" si="3"/>
        <v>102.92957789822663</v>
      </c>
      <c r="H34" s="63">
        <f t="shared" si="4"/>
        <v>532102.96958886052</v>
      </c>
      <c r="I34" s="98">
        <v>1.6401318069422007E-3</v>
      </c>
      <c r="L34" s="4">
        <v>2.0000000000000101E-2</v>
      </c>
      <c r="M34" s="63">
        <v>290656988.01084757</v>
      </c>
      <c r="N34" s="63">
        <v>-250176.34226363897</v>
      </c>
    </row>
    <row r="35" spans="1:14" x14ac:dyDescent="0.25">
      <c r="A35" s="1" t="s">
        <v>40</v>
      </c>
      <c r="B35" s="2">
        <v>46827</v>
      </c>
      <c r="C35" s="157" t="s">
        <v>151</v>
      </c>
      <c r="D35" s="4">
        <v>9.00941817818528E-2</v>
      </c>
      <c r="E35" s="63">
        <v>524682.3972004744</v>
      </c>
      <c r="F35" s="7">
        <v>102.95875313607972</v>
      </c>
      <c r="G35" s="63">
        <f t="shared" si="3"/>
        <v>102.95875313607972</v>
      </c>
      <c r="H35" s="63">
        <f t="shared" si="4"/>
        <v>524682.3972004744</v>
      </c>
      <c r="I35" s="98">
        <v>1.6172589468089207E-3</v>
      </c>
      <c r="L35" s="4">
        <v>2.25000000000001E-2</v>
      </c>
      <c r="M35" s="63">
        <v>286766785.1232928</v>
      </c>
      <c r="N35" s="63">
        <v>-205001.08799016476</v>
      </c>
    </row>
    <row r="36" spans="1:14" x14ac:dyDescent="0.25">
      <c r="A36" s="1" t="s">
        <v>39</v>
      </c>
      <c r="B36" s="2">
        <v>46874</v>
      </c>
      <c r="C36" s="157" t="s">
        <v>152</v>
      </c>
      <c r="D36" s="4">
        <v>9.1002560132757607E-2</v>
      </c>
      <c r="E36" s="63">
        <v>518282.55511520093</v>
      </c>
      <c r="F36" s="7">
        <v>99.81285107751053</v>
      </c>
      <c r="G36" s="63">
        <f t="shared" si="3"/>
        <v>99.81285107751053</v>
      </c>
      <c r="H36" s="63">
        <f t="shared" si="4"/>
        <v>518282.55511520093</v>
      </c>
      <c r="I36" s="98">
        <v>1.5975323428180149E-3</v>
      </c>
      <c r="L36" s="4">
        <v>2.5000000000000099E-2</v>
      </c>
      <c r="M36" s="63">
        <v>282945050.31201422</v>
      </c>
      <c r="N36" s="63">
        <v>-146167.1870059967</v>
      </c>
    </row>
    <row r="37" spans="1:14" x14ac:dyDescent="0.25">
      <c r="A37" s="1" t="s">
        <v>38</v>
      </c>
      <c r="B37" s="2">
        <v>46935</v>
      </c>
      <c r="C37" s="157" t="s">
        <v>152</v>
      </c>
      <c r="D37" s="4">
        <v>9.2184243172472105E-2</v>
      </c>
      <c r="E37" s="63">
        <v>502526.57945481216</v>
      </c>
      <c r="F37" s="7">
        <v>99.550322230134952</v>
      </c>
      <c r="G37" s="63">
        <f t="shared" si="3"/>
        <v>99.550322230134952</v>
      </c>
      <c r="H37" s="63">
        <f t="shared" si="4"/>
        <v>502526.5794548121</v>
      </c>
      <c r="I37" s="98">
        <v>1.5489667863243573E-3</v>
      </c>
      <c r="L37" s="4">
        <v>2.7500000000000101E-2</v>
      </c>
      <c r="M37" s="63">
        <v>279190352.65810686</v>
      </c>
      <c r="N37" s="63">
        <v>-74538.804228007793</v>
      </c>
    </row>
    <row r="38" spans="1:14" x14ac:dyDescent="0.25">
      <c r="A38" s="1" t="s">
        <v>37</v>
      </c>
      <c r="B38" s="2">
        <v>46997</v>
      </c>
      <c r="C38" s="157" t="s">
        <v>143</v>
      </c>
      <c r="D38" s="4">
        <v>9.3333514575865195E-2</v>
      </c>
      <c r="E38" s="63">
        <v>491192.91966981738</v>
      </c>
      <c r="F38" s="7">
        <v>104.47246624145846</v>
      </c>
      <c r="G38" s="63">
        <f t="shared" si="3"/>
        <v>104.47246624145846</v>
      </c>
      <c r="H38" s="63">
        <f t="shared" si="4"/>
        <v>491192.91966981738</v>
      </c>
      <c r="I38" s="98">
        <v>1.5140323902303183E-3</v>
      </c>
      <c r="L38" s="4">
        <v>3.00000000000001E-2</v>
      </c>
      <c r="M38" s="63">
        <v>275501294.77340215</v>
      </c>
      <c r="N38" s="63">
        <v>9063.3375377058983</v>
      </c>
    </row>
    <row r="39" spans="1:14" x14ac:dyDescent="0.25">
      <c r="A39" s="1" t="s">
        <v>36</v>
      </c>
      <c r="B39" s="2">
        <v>47041</v>
      </c>
      <c r="C39" s="157" t="s">
        <v>142</v>
      </c>
      <c r="D39" s="4">
        <v>9.4110289763709498E-2</v>
      </c>
      <c r="E39" s="63">
        <v>479033.62291922525</v>
      </c>
      <c r="F39" s="7">
        <v>103.4436658399548</v>
      </c>
      <c r="G39" s="63">
        <f t="shared" si="3"/>
        <v>103.4436658399548</v>
      </c>
      <c r="H39" s="63">
        <f t="shared" si="4"/>
        <v>479033.62291922525</v>
      </c>
      <c r="I39" s="98">
        <v>1.476553085489538E-3</v>
      </c>
      <c r="L39" s="4">
        <v>3.2500000000000098E-2</v>
      </c>
      <c r="M39" s="63">
        <v>271876511.94639021</v>
      </c>
      <c r="N39" s="63">
        <v>103859.88157427311</v>
      </c>
    </row>
    <row r="40" spans="1:14" x14ac:dyDescent="0.25">
      <c r="A40" s="1" t="s">
        <v>35</v>
      </c>
      <c r="B40" s="2">
        <v>47102</v>
      </c>
      <c r="C40" s="157" t="s">
        <v>143</v>
      </c>
      <c r="D40" s="4">
        <v>9.5082766762326701E-2</v>
      </c>
      <c r="E40" s="63">
        <v>475300.1499591592</v>
      </c>
      <c r="F40" s="7">
        <v>104.54423176102931</v>
      </c>
      <c r="G40" s="63">
        <f t="shared" si="3"/>
        <v>104.54423176102931</v>
      </c>
      <c r="H40" s="63">
        <f t="shared" si="4"/>
        <v>475300.1499591592</v>
      </c>
      <c r="I40" s="98">
        <v>1.4650451855112794E-3</v>
      </c>
      <c r="L40" s="4">
        <v>3.50000000000001E-2</v>
      </c>
      <c r="M40" s="63">
        <v>268314671.31138361</v>
      </c>
      <c r="N40" s="63">
        <v>209110.85988837481</v>
      </c>
    </row>
    <row r="41" spans="1:14" x14ac:dyDescent="0.25">
      <c r="A41" s="1" t="s">
        <v>34</v>
      </c>
      <c r="B41" s="2">
        <v>47119</v>
      </c>
      <c r="C41" s="157" t="s">
        <v>153</v>
      </c>
      <c r="D41" s="4">
        <v>9.5368609514886807E-2</v>
      </c>
      <c r="E41" s="63">
        <v>474241.3927991548</v>
      </c>
      <c r="F41" s="7">
        <v>108.02976938754009</v>
      </c>
      <c r="G41" s="63">
        <f t="shared" si="3"/>
        <v>108.02976938754009</v>
      </c>
      <c r="H41" s="63">
        <f t="shared" si="4"/>
        <v>474241.39279915474</v>
      </c>
      <c r="I41" s="98">
        <v>1.4617817169850791E-3</v>
      </c>
      <c r="L41" s="4">
        <v>3.7500000000000103E-2</v>
      </c>
      <c r="M41" s="63">
        <v>264814471.04025406</v>
      </c>
      <c r="N41" s="63">
        <v>324113.80976444483</v>
      </c>
    </row>
    <row r="42" spans="1:14" x14ac:dyDescent="0.25">
      <c r="A42" s="1" t="s">
        <v>33</v>
      </c>
      <c r="B42" s="2">
        <v>47239</v>
      </c>
      <c r="C42" s="157" t="s">
        <v>153</v>
      </c>
      <c r="D42" s="4">
        <v>9.6976289287822398E-2</v>
      </c>
      <c r="E42" s="63">
        <v>457008.08374899649</v>
      </c>
      <c r="F42" s="7">
        <v>108.4804593626648</v>
      </c>
      <c r="G42" s="63">
        <f t="shared" si="3"/>
        <v>108.4804593626648</v>
      </c>
      <c r="H42" s="63">
        <f t="shared" si="4"/>
        <v>457008.08374899643</v>
      </c>
      <c r="I42" s="98">
        <v>1.4086624902048396E-3</v>
      </c>
      <c r="L42" s="4">
        <v>4.0000000000000098E-2</v>
      </c>
      <c r="M42" s="63">
        <v>261374639.55609316</v>
      </c>
      <c r="N42" s="63">
        <v>448201.97972762585</v>
      </c>
    </row>
    <row r="43" spans="1:14" x14ac:dyDescent="0.25">
      <c r="A43" s="1" t="s">
        <v>32</v>
      </c>
      <c r="B43" s="2">
        <v>47284</v>
      </c>
      <c r="C43" s="157" t="s">
        <v>147</v>
      </c>
      <c r="D43" s="4">
        <v>9.7421528404809304E-2</v>
      </c>
      <c r="E43" s="63">
        <v>442269.14939931512</v>
      </c>
      <c r="F43" s="7">
        <v>105.30822189769614</v>
      </c>
      <c r="G43" s="63">
        <f t="shared" si="3"/>
        <v>105.30822189769614</v>
      </c>
      <c r="H43" s="63">
        <f t="shared" si="4"/>
        <v>442269.14939931512</v>
      </c>
      <c r="I43" s="98">
        <v>1.3632318190585694E-3</v>
      </c>
      <c r="L43" s="4">
        <v>4.25000000000001E-2</v>
      </c>
      <c r="M43" s="63">
        <v>257993934.76816964</v>
      </c>
      <c r="N43" s="63">
        <v>580742.62062984705</v>
      </c>
    </row>
    <row r="44" spans="1:14" x14ac:dyDescent="0.25">
      <c r="A44" s="1" t="s">
        <v>31</v>
      </c>
      <c r="B44" s="2">
        <v>47314</v>
      </c>
      <c r="C44" s="157" t="s">
        <v>149</v>
      </c>
      <c r="D44" s="4">
        <v>9.7709258127113299E-2</v>
      </c>
      <c r="E44" s="63">
        <v>453026.33039290627</v>
      </c>
      <c r="F44" s="7">
        <v>127.73755710791752</v>
      </c>
      <c r="G44" s="63">
        <f t="shared" si="3"/>
        <v>127.73755710791752</v>
      </c>
      <c r="H44" s="63">
        <f t="shared" si="4"/>
        <v>453026.33039290627</v>
      </c>
      <c r="I44" s="98">
        <v>1.396389301179474E-3</v>
      </c>
      <c r="L44" s="4">
        <v>4.5000000000000102E-2</v>
      </c>
      <c r="M44" s="63">
        <v>254671143.32756993</v>
      </c>
      <c r="N44" s="63">
        <v>721135.35778144002</v>
      </c>
    </row>
    <row r="45" spans="1:14" x14ac:dyDescent="0.25">
      <c r="A45" s="1" t="s">
        <v>30</v>
      </c>
      <c r="B45" s="2">
        <v>47376</v>
      </c>
      <c r="C45" s="157" t="s">
        <v>142</v>
      </c>
      <c r="D45" s="4">
        <v>9.8159074661940293E-2</v>
      </c>
      <c r="E45" s="63">
        <v>868251.08876368625</v>
      </c>
      <c r="F45" s="7">
        <v>103.33268386451574</v>
      </c>
      <c r="G45" s="63">
        <f t="shared" si="3"/>
        <v>103.33268386451574</v>
      </c>
      <c r="H45" s="63">
        <f t="shared" si="4"/>
        <v>868251.08876368625</v>
      </c>
      <c r="I45" s="98">
        <v>2.6762606271373271E-3</v>
      </c>
      <c r="L45" s="4">
        <v>4.7500000000000098E-2</v>
      </c>
      <c r="M45" s="63">
        <v>251405079.90293404</v>
      </c>
      <c r="N45" s="63">
        <v>868810.64024564624</v>
      </c>
    </row>
    <row r="46" spans="1:14" x14ac:dyDescent="0.25">
      <c r="A46" s="1" t="s">
        <v>29</v>
      </c>
      <c r="B46" s="2">
        <v>47406</v>
      </c>
      <c r="C46" s="157" t="s">
        <v>154</v>
      </c>
      <c r="D46" s="4">
        <v>9.83341851437666E-2</v>
      </c>
      <c r="E46" s="63">
        <v>1403638.1509618009</v>
      </c>
      <c r="F46" s="7">
        <v>101.48926706674334</v>
      </c>
      <c r="G46" s="63">
        <f t="shared" si="3"/>
        <v>101.48926706674334</v>
      </c>
      <c r="H46" s="63">
        <f t="shared" si="4"/>
        <v>1403638.1509618009</v>
      </c>
      <c r="I46" s="98">
        <v>4.3265151829706746E-3</v>
      </c>
      <c r="L46" s="4">
        <v>0.05</v>
      </c>
      <c r="M46" s="63">
        <v>248194586.47571099</v>
      </c>
      <c r="N46" s="63">
        <v>1023228.2636083364</v>
      </c>
    </row>
    <row r="47" spans="1:14" x14ac:dyDescent="0.25">
      <c r="A47" s="1" t="s">
        <v>28</v>
      </c>
      <c r="B47" s="2">
        <v>47467</v>
      </c>
      <c r="C47" s="157" t="s">
        <v>142</v>
      </c>
      <c r="D47" s="4">
        <v>9.8627666279997694E-2</v>
      </c>
      <c r="E47" s="63">
        <v>2012937.5703962741</v>
      </c>
      <c r="F47" s="7">
        <v>103.38930793356108</v>
      </c>
      <c r="G47" s="63">
        <f t="shared" si="3"/>
        <v>103.38930793356108</v>
      </c>
      <c r="H47" s="63">
        <f t="shared" si="4"/>
        <v>2012937.5703962743</v>
      </c>
      <c r="I47" s="98">
        <v>6.2045940791250207E-3</v>
      </c>
      <c r="L47" s="4">
        <v>5.2499999999999998E-2</v>
      </c>
      <c r="M47" s="63">
        <v>245038531.65437585</v>
      </c>
      <c r="N47" s="63">
        <v>1183875.9627120197</v>
      </c>
    </row>
    <row r="48" spans="1:14" x14ac:dyDescent="0.25">
      <c r="A48" s="1" t="s">
        <v>27</v>
      </c>
      <c r="B48" s="2">
        <v>47543</v>
      </c>
      <c r="C48" s="157" t="s">
        <v>155</v>
      </c>
      <c r="D48" s="4">
        <v>9.8927966720125299E-2</v>
      </c>
      <c r="E48" s="63">
        <v>3206749.7299059271</v>
      </c>
      <c r="F48" s="7">
        <v>98.741343687093448</v>
      </c>
      <c r="G48" s="63">
        <f t="shared" si="3"/>
        <v>98.741343687093448</v>
      </c>
      <c r="H48" s="63">
        <f t="shared" si="4"/>
        <v>3206749.7299059271</v>
      </c>
      <c r="I48" s="98">
        <v>9.88435045379632E-3</v>
      </c>
      <c r="L48" s="4">
        <v>5.5E-2</v>
      </c>
      <c r="M48" s="63">
        <v>241935810.0070723</v>
      </c>
      <c r="N48" s="63">
        <v>1350268.0710101724</v>
      </c>
    </row>
    <row r="49" spans="1:14" x14ac:dyDescent="0.25">
      <c r="A49" s="1" t="s">
        <v>26</v>
      </c>
      <c r="B49" s="2">
        <v>47618</v>
      </c>
      <c r="C49" s="157" t="s">
        <v>142</v>
      </c>
      <c r="D49" s="4">
        <v>9.9175489691069402E-2</v>
      </c>
      <c r="E49" s="63">
        <v>2375795.4094802034</v>
      </c>
      <c r="F49" s="7">
        <v>103.53589867148779</v>
      </c>
      <c r="G49" s="63">
        <f t="shared" si="3"/>
        <v>103.53589867148779</v>
      </c>
      <c r="H49" s="63">
        <f t="shared" si="4"/>
        <v>2375795.4094802034</v>
      </c>
      <c r="I49" s="98">
        <v>7.3230518162425359E-3</v>
      </c>
      <c r="L49" s="4">
        <v>5.7500000000000002E-2</v>
      </c>
      <c r="M49" s="63">
        <v>238885341.41215202</v>
      </c>
      <c r="N49" s="63">
        <v>1521944.2433691323</v>
      </c>
    </row>
    <row r="50" spans="1:14" x14ac:dyDescent="0.25">
      <c r="A50" s="1" t="s">
        <v>25</v>
      </c>
      <c r="B50" s="2">
        <v>47665</v>
      </c>
      <c r="C50" s="157" t="s">
        <v>156</v>
      </c>
      <c r="D50" s="4">
        <v>9.9319237123677698E-2</v>
      </c>
      <c r="E50" s="63">
        <v>3248262.7018205146</v>
      </c>
      <c r="F50" s="7">
        <v>99.359666023365733</v>
      </c>
      <c r="G50" s="63">
        <f t="shared" si="3"/>
        <v>99.359666023365733</v>
      </c>
      <c r="H50" s="63">
        <f t="shared" si="4"/>
        <v>3248262.7018205146</v>
      </c>
      <c r="I50" s="98">
        <v>1.0012308291901268E-2</v>
      </c>
      <c r="L50" s="4">
        <v>0.06</v>
      </c>
      <c r="M50" s="63">
        <v>235886070.42610702</v>
      </c>
      <c r="N50" s="63">
        <v>1698468.2392869294</v>
      </c>
    </row>
    <row r="51" spans="1:14" x14ac:dyDescent="0.25">
      <c r="A51" s="1" t="s">
        <v>24</v>
      </c>
      <c r="B51" s="2">
        <v>47771</v>
      </c>
      <c r="C51" s="157" t="s">
        <v>142</v>
      </c>
      <c r="D51" s="4">
        <v>9.9641466183029798E-2</v>
      </c>
      <c r="E51" s="63">
        <v>4307772.1810174957</v>
      </c>
      <c r="F51" s="7">
        <v>103.66935602889157</v>
      </c>
      <c r="G51" s="63">
        <f t="shared" si="3"/>
        <v>103.66935602889157</v>
      </c>
      <c r="H51" s="63">
        <f t="shared" si="4"/>
        <v>4307772.1810174957</v>
      </c>
      <c r="I51" s="98">
        <v>1.3278095735129463E-2</v>
      </c>
      <c r="L51" s="4">
        <v>6.25E-2</v>
      </c>
      <c r="M51" s="63">
        <v>232936965.6683988</v>
      </c>
      <c r="N51" s="63">
        <v>1879426.7636575401</v>
      </c>
    </row>
    <row r="52" spans="1:14" x14ac:dyDescent="0.25">
      <c r="A52" s="1" t="s">
        <v>23</v>
      </c>
      <c r="B52" s="2">
        <v>47922</v>
      </c>
      <c r="C52" s="157" t="s">
        <v>144</v>
      </c>
      <c r="D52" s="4">
        <v>0.10017900909794999</v>
      </c>
      <c r="E52" s="63">
        <v>6184158.7047482589</v>
      </c>
      <c r="F52" s="7">
        <v>104.65841890707944</v>
      </c>
      <c r="G52" s="63">
        <f t="shared" si="3"/>
        <v>104.65841890707944</v>
      </c>
      <c r="H52" s="63">
        <f t="shared" si="4"/>
        <v>6184158.7047482589</v>
      </c>
      <c r="I52" s="98">
        <v>1.9061790612958159E-2</v>
      </c>
      <c r="L52" s="4">
        <v>6.5000000000000002E-2</v>
      </c>
      <c r="M52" s="63">
        <v>230037019.22270811</v>
      </c>
      <c r="N52" s="63">
        <v>2064428.362336576</v>
      </c>
    </row>
    <row r="53" spans="1:14" x14ac:dyDescent="0.25">
      <c r="A53" s="1" t="s">
        <v>22</v>
      </c>
      <c r="B53" s="2">
        <v>47983</v>
      </c>
      <c r="C53" s="157" t="s">
        <v>146</v>
      </c>
      <c r="D53" s="4">
        <v>0.100458084506897</v>
      </c>
      <c r="E53" s="63">
        <v>3618345.4062458882</v>
      </c>
      <c r="F53" s="7">
        <v>130.96460129388575</v>
      </c>
      <c r="G53" s="63">
        <f t="shared" si="3"/>
        <v>130.96460129388575</v>
      </c>
      <c r="H53" s="63">
        <f t="shared" si="4"/>
        <v>3618345.4062458882</v>
      </c>
      <c r="I53" s="98">
        <v>1.1153035649984313E-2</v>
      </c>
      <c r="L53" s="4">
        <v>6.7500000000000004E-2</v>
      </c>
      <c r="M53" s="63">
        <v>227185246.05413994</v>
      </c>
      <c r="N53" s="63">
        <v>2253102.3699076474</v>
      </c>
    </row>
    <row r="54" spans="1:14" x14ac:dyDescent="0.25">
      <c r="A54" s="1" t="s">
        <v>21</v>
      </c>
      <c r="B54" s="2">
        <v>48183</v>
      </c>
      <c r="C54" s="157" t="s">
        <v>157</v>
      </c>
      <c r="D54" s="4">
        <v>0.101618467364569</v>
      </c>
      <c r="E54" s="63">
        <v>7583678.7463424718</v>
      </c>
      <c r="F54" s="7">
        <v>107.69225594169751</v>
      </c>
      <c r="G54" s="63">
        <f t="shared" si="3"/>
        <v>107.69225594169751</v>
      </c>
      <c r="H54" s="63">
        <f t="shared" si="4"/>
        <v>7583678.7463424718</v>
      </c>
      <c r="I54" s="98">
        <v>2.3375612308870367E-2</v>
      </c>
      <c r="L54" s="4">
        <v>7.0000000000000007E-2</v>
      </c>
      <c r="M54" s="63">
        <v>224380683.4419345</v>
      </c>
      <c r="N54" s="63">
        <v>2445097.907163918</v>
      </c>
    </row>
    <row r="55" spans="1:14" x14ac:dyDescent="0.25">
      <c r="A55" s="1" t="s">
        <v>20</v>
      </c>
      <c r="B55" s="2">
        <v>48214</v>
      </c>
      <c r="C55" s="157" t="s">
        <v>158</v>
      </c>
      <c r="D55" s="4">
        <v>0.101813740796484</v>
      </c>
      <c r="E55" s="63">
        <v>7534885.8453778429</v>
      </c>
      <c r="F55" s="7">
        <v>90.720236494636808</v>
      </c>
      <c r="G55" s="63">
        <f t="shared" si="3"/>
        <v>90.720236494636808</v>
      </c>
      <c r="H55" s="63">
        <f t="shared" si="4"/>
        <v>7534885.845377842</v>
      </c>
      <c r="I55" s="98">
        <v>2.3225215123741139E-2</v>
      </c>
      <c r="L55" s="4">
        <v>7.2499999999999995E-2</v>
      </c>
      <c r="M55" s="63">
        <v>221622390.42724532</v>
      </c>
      <c r="N55" s="63">
        <v>2640082.9259489775</v>
      </c>
    </row>
    <row r="56" spans="1:14" x14ac:dyDescent="0.25">
      <c r="A56" s="1" t="s">
        <v>19</v>
      </c>
      <c r="B56" s="103">
        <v>48396</v>
      </c>
      <c r="C56" s="158" t="s">
        <v>146</v>
      </c>
      <c r="D56" s="105">
        <v>0.103134021658633</v>
      </c>
      <c r="E56" s="104">
        <v>3676475.0457142722</v>
      </c>
      <c r="F56" s="106">
        <v>134.50718713558862</v>
      </c>
      <c r="G56" s="104">
        <f t="shared" si="3"/>
        <v>134.50718713558862</v>
      </c>
      <c r="H56" s="104">
        <f t="shared" si="4"/>
        <v>3676475.0457142722</v>
      </c>
      <c r="I56" s="107">
        <v>1.133221200506432E-2</v>
      </c>
      <c r="L56" s="4">
        <v>7.4999999999999997E-2</v>
      </c>
      <c r="M56" s="63">
        <v>218909447.27556399</v>
      </c>
      <c r="N56" s="63">
        <v>2837743.2991060019</v>
      </c>
    </row>
    <row r="57" spans="1:14" x14ac:dyDescent="0.25">
      <c r="A57" s="1" t="s">
        <v>18</v>
      </c>
      <c r="B57" s="2">
        <v>48488</v>
      </c>
      <c r="C57" s="157" t="s">
        <v>152</v>
      </c>
      <c r="D57" s="4">
        <v>0.10383446722902399</v>
      </c>
      <c r="E57" s="63">
        <v>8604428.5577628948</v>
      </c>
      <c r="F57" s="7">
        <v>93.603864500494751</v>
      </c>
      <c r="G57" s="63">
        <f t="shared" si="3"/>
        <v>93.603864500494751</v>
      </c>
      <c r="H57" s="63">
        <f t="shared" si="4"/>
        <v>8604428.5577628948</v>
      </c>
      <c r="I57" s="98">
        <v>2.6521928582832276E-2</v>
      </c>
      <c r="L57" s="4">
        <v>7.7499999999999999E-2</v>
      </c>
      <c r="M57" s="63">
        <v>216240954.95337585</v>
      </c>
      <c r="N57" s="63">
        <v>3037781.9534009993</v>
      </c>
    </row>
    <row r="58" spans="1:14" x14ac:dyDescent="0.25">
      <c r="A58" s="1" t="s">
        <v>17</v>
      </c>
      <c r="B58" s="2">
        <v>48563</v>
      </c>
      <c r="C58" s="157" t="s">
        <v>143</v>
      </c>
      <c r="D58" s="4">
        <v>0.104429609165249</v>
      </c>
      <c r="E58" s="63">
        <v>9943401.953009462</v>
      </c>
      <c r="F58" s="7">
        <v>104.94790361364592</v>
      </c>
      <c r="G58" s="63">
        <f t="shared" si="3"/>
        <v>104.94790361364592</v>
      </c>
      <c r="H58" s="63">
        <f t="shared" si="4"/>
        <v>9943401.953009462</v>
      </c>
      <c r="I58" s="98">
        <v>3.0649123843347621E-2</v>
      </c>
      <c r="L58" s="4">
        <v>0.08</v>
      </c>
      <c r="M58" s="63">
        <v>213616034.61865073</v>
      </c>
      <c r="N58" s="63">
        <v>3239918.043379426</v>
      </c>
    </row>
    <row r="59" spans="1:14" x14ac:dyDescent="0.25">
      <c r="A59" s="1" t="s">
        <v>16</v>
      </c>
      <c r="B59" s="2">
        <v>48594</v>
      </c>
      <c r="C59" s="157" t="s">
        <v>159</v>
      </c>
      <c r="D59" s="4">
        <v>0.104656074286491</v>
      </c>
      <c r="E59" s="63">
        <v>10221335.268894564</v>
      </c>
      <c r="F59" s="7">
        <v>103.45143430458612</v>
      </c>
      <c r="G59" s="63">
        <f t="shared" si="3"/>
        <v>103.45143430458612</v>
      </c>
      <c r="H59" s="63">
        <f t="shared" si="4"/>
        <v>10221335.268894564</v>
      </c>
      <c r="I59" s="98">
        <v>3.1505813803082837E-2</v>
      </c>
      <c r="L59" s="4">
        <v>8.2500000000000004E-2</v>
      </c>
      <c r="M59" s="63">
        <v>211033827.1247797</v>
      </c>
      <c r="N59" s="63">
        <v>3443886.1642227173</v>
      </c>
    </row>
    <row r="60" spans="1:14" x14ac:dyDescent="0.25">
      <c r="A60" s="1" t="s">
        <v>15</v>
      </c>
      <c r="B60" s="2">
        <v>48731</v>
      </c>
      <c r="C60" s="157" t="s">
        <v>152</v>
      </c>
      <c r="D60" s="4">
        <v>0.105712273681911</v>
      </c>
      <c r="E60" s="63">
        <v>9029721.9421526287</v>
      </c>
      <c r="F60" s="7">
        <v>92.259884687942133</v>
      </c>
      <c r="G60" s="63">
        <f t="shared" si="3"/>
        <v>92.259884687942133</v>
      </c>
      <c r="H60" s="63">
        <f t="shared" si="4"/>
        <v>9029721.9421526287</v>
      </c>
      <c r="I60" s="98">
        <v>2.7832835018025946E-2</v>
      </c>
      <c r="L60" s="4">
        <v>8.5000000000000006E-2</v>
      </c>
      <c r="M60" s="63">
        <v>208493492.53758219</v>
      </c>
      <c r="N60" s="63">
        <v>3649435.6017566621</v>
      </c>
    </row>
    <row r="61" spans="1:14" x14ac:dyDescent="0.25">
      <c r="A61" s="1" t="s">
        <v>14</v>
      </c>
      <c r="B61" s="2">
        <v>48761</v>
      </c>
      <c r="C61" s="157" t="s">
        <v>160</v>
      </c>
      <c r="D61" s="4">
        <v>0.105927540480053</v>
      </c>
      <c r="E61" s="63">
        <v>10205384.37841114</v>
      </c>
      <c r="F61" s="7">
        <v>113.10911669010969</v>
      </c>
      <c r="G61" s="63">
        <f t="shared" si="3"/>
        <v>113.10911669010969</v>
      </c>
      <c r="H61" s="63">
        <f t="shared" si="4"/>
        <v>10205384.37841114</v>
      </c>
      <c r="I61" s="98">
        <v>3.145664744933907E-2</v>
      </c>
      <c r="L61" s="4">
        <v>8.7499999999999994E-2</v>
      </c>
      <c r="M61" s="63">
        <v>205994209.66501799</v>
      </c>
      <c r="N61" s="63">
        <v>3856329.6178571582</v>
      </c>
    </row>
    <row r="62" spans="1:14" x14ac:dyDescent="0.25">
      <c r="A62" s="1" t="s">
        <v>13</v>
      </c>
      <c r="B62" s="2">
        <v>48884</v>
      </c>
      <c r="C62" s="157" t="s">
        <v>152</v>
      </c>
      <c r="D62" s="4">
        <v>0.106797756142299</v>
      </c>
      <c r="E62" s="63">
        <v>10415633.452752877</v>
      </c>
      <c r="F62" s="7">
        <v>91.452285204828812</v>
      </c>
      <c r="G62" s="63">
        <f t="shared" si="3"/>
        <v>91.452285204828812</v>
      </c>
      <c r="H62" s="63">
        <f t="shared" si="4"/>
        <v>10415633.452752877</v>
      </c>
      <c r="I62" s="98">
        <v>3.2104710350537462E-2</v>
      </c>
      <c r="L62" s="4">
        <v>0.09</v>
      </c>
      <c r="M62" s="63">
        <v>203535175.59925005</v>
      </c>
      <c r="N62" s="63">
        <v>4064344.7695799768</v>
      </c>
    </row>
    <row r="63" spans="1:14" x14ac:dyDescent="0.25">
      <c r="A63" s="1" t="s">
        <v>12</v>
      </c>
      <c r="B63" s="2">
        <v>48945</v>
      </c>
      <c r="C63" s="157" t="s">
        <v>160</v>
      </c>
      <c r="D63" s="4">
        <v>0.10717527860261</v>
      </c>
      <c r="E63" s="63">
        <v>12660447.319516361</v>
      </c>
      <c r="F63" s="7">
        <v>113.00767985085287</v>
      </c>
      <c r="G63" s="63">
        <f t="shared" si="3"/>
        <v>113.00767985085287</v>
      </c>
      <c r="H63" s="63">
        <f t="shared" si="4"/>
        <v>12660447.319516361</v>
      </c>
      <c r="I63" s="98">
        <v>3.9024030170136489E-2</v>
      </c>
      <c r="L63" s="4">
        <v>9.2499999999999999E-2</v>
      </c>
      <c r="M63" s="63">
        <v>201115605.27071497</v>
      </c>
      <c r="N63" s="63">
        <v>4273270.2604224682</v>
      </c>
    </row>
    <row r="64" spans="1:14" x14ac:dyDescent="0.25">
      <c r="A64" s="1" t="s">
        <v>11</v>
      </c>
      <c r="B64" s="2">
        <v>49110</v>
      </c>
      <c r="C64" s="157" t="s">
        <v>151</v>
      </c>
      <c r="D64" s="4">
        <v>0.10810648562585699</v>
      </c>
      <c r="E64" s="63">
        <v>11063246.288774941</v>
      </c>
      <c r="F64" s="7">
        <v>99.646882021444938</v>
      </c>
      <c r="G64" s="63">
        <f t="shared" si="3"/>
        <v>99.646882021444938</v>
      </c>
      <c r="H64" s="63">
        <f t="shared" si="4"/>
        <v>11063246.288774941</v>
      </c>
      <c r="I64" s="98">
        <v>3.4100884910067804E-2</v>
      </c>
      <c r="L64" s="4">
        <v>9.5000000000000001E-2</v>
      </c>
      <c r="M64" s="63">
        <v>198734731.01386642</v>
      </c>
      <c r="N64" s="63">
        <v>4482907.322201252</v>
      </c>
    </row>
    <row r="65" spans="1:14" x14ac:dyDescent="0.25">
      <c r="A65" s="1" t="s">
        <v>10</v>
      </c>
      <c r="B65" s="2">
        <v>49202</v>
      </c>
      <c r="C65" s="157" t="s">
        <v>161</v>
      </c>
      <c r="D65" s="4">
        <v>0.108507876422943</v>
      </c>
      <c r="E65" s="63">
        <v>11774614.601738891</v>
      </c>
      <c r="F65" s="7">
        <v>96.720871346032908</v>
      </c>
      <c r="G65" s="63">
        <f t="shared" si="3"/>
        <v>96.720871346032908</v>
      </c>
      <c r="H65" s="63">
        <f t="shared" si="4"/>
        <v>11774614.601738891</v>
      </c>
      <c r="I65" s="98">
        <v>3.6293576669417488E-2</v>
      </c>
      <c r="L65" s="4">
        <v>9.7500000000000003E-2</v>
      </c>
      <c r="M65" s="63">
        <v>196391802.1442672</v>
      </c>
      <c r="N65" s="63">
        <v>4693068.6261025667</v>
      </c>
    </row>
    <row r="66" spans="1:14" x14ac:dyDescent="0.25">
      <c r="A66" s="102" t="s">
        <v>9</v>
      </c>
      <c r="B66" s="103">
        <v>49383</v>
      </c>
      <c r="C66" s="158" t="s">
        <v>143</v>
      </c>
      <c r="D66" s="105">
        <v>0.109112790249632</v>
      </c>
      <c r="E66" s="104">
        <v>14629513.262379874</v>
      </c>
      <c r="F66" s="106">
        <v>103.27500196645778</v>
      </c>
      <c r="G66" s="104">
        <f t="shared" si="3"/>
        <v>103.27500196645778</v>
      </c>
      <c r="H66" s="104">
        <f t="shared" si="4"/>
        <v>14629513.262379874</v>
      </c>
      <c r="I66" s="107">
        <v>4.5093396190311941E-2</v>
      </c>
      <c r="L66" s="4">
        <v>0.1</v>
      </c>
      <c r="M66" s="63">
        <v>194086084.54671642</v>
      </c>
      <c r="N66" s="63">
        <v>4903577.7215300202</v>
      </c>
    </row>
    <row r="67" spans="1:14" x14ac:dyDescent="0.25">
      <c r="A67" s="102" t="s">
        <v>8</v>
      </c>
      <c r="B67" s="103">
        <v>49475</v>
      </c>
      <c r="C67" s="158" t="s">
        <v>162</v>
      </c>
      <c r="D67" s="105">
        <v>0.10935359171900801</v>
      </c>
      <c r="E67" s="104">
        <v>12424692.951571211</v>
      </c>
      <c r="F67" s="106">
        <v>98.629976594719395</v>
      </c>
      <c r="G67" s="104">
        <f t="shared" si="3"/>
        <v>98.629976594719395</v>
      </c>
      <c r="H67" s="104">
        <f t="shared" si="4"/>
        <v>12424692.951571211</v>
      </c>
      <c r="I67" s="107">
        <v>3.8297350824988009E-2</v>
      </c>
      <c r="L67" s="74">
        <v>1E-4</v>
      </c>
      <c r="M67" s="63">
        <v>324245622.77702391</v>
      </c>
      <c r="N67" s="63">
        <v>-4494.9912213087082</v>
      </c>
    </row>
    <row r="68" spans="1:14" x14ac:dyDescent="0.25">
      <c r="A68" s="102" t="s">
        <v>7</v>
      </c>
      <c r="B68" s="103">
        <v>49902</v>
      </c>
      <c r="C68" s="158" t="s">
        <v>163</v>
      </c>
      <c r="D68" s="105">
        <v>0.110036392411723</v>
      </c>
      <c r="E68" s="104">
        <v>14467225.333177274</v>
      </c>
      <c r="F68" s="106">
        <v>99.032623809117865</v>
      </c>
      <c r="G68" s="104">
        <f t="shared" si="3"/>
        <v>99.032623809117865</v>
      </c>
      <c r="H68" s="104">
        <f t="shared" si="4"/>
        <v>14467225.333177276</v>
      </c>
      <c r="I68" s="107">
        <v>4.4593166705079727E-2</v>
      </c>
      <c r="L68" s="74">
        <v>-1E-4</v>
      </c>
      <c r="M68" s="63">
        <v>324608422.05996585</v>
      </c>
      <c r="N68" s="63">
        <v>4533.0447052121162</v>
      </c>
    </row>
    <row r="69" spans="1:14" x14ac:dyDescent="0.25">
      <c r="A69" s="102" t="s">
        <v>6</v>
      </c>
      <c r="B69" s="103">
        <v>50222</v>
      </c>
      <c r="C69" s="158" t="s">
        <v>151</v>
      </c>
      <c r="D69" s="105">
        <v>0.110356501366721</v>
      </c>
      <c r="E69" s="104">
        <v>15061455.826375723</v>
      </c>
      <c r="F69" s="106">
        <v>98.154626335909143</v>
      </c>
      <c r="G69" s="104">
        <f t="shared" si="3"/>
        <v>98.154626335909143</v>
      </c>
      <c r="H69" s="104">
        <f t="shared" si="4"/>
        <v>15061455.826375721</v>
      </c>
      <c r="I69" s="107">
        <v>4.6424797776980685E-2</v>
      </c>
    </row>
    <row r="70" spans="1:14" x14ac:dyDescent="0.25">
      <c r="A70" s="102" t="s">
        <v>5</v>
      </c>
      <c r="B70" s="103">
        <v>50997</v>
      </c>
      <c r="C70" s="158" t="s">
        <v>164</v>
      </c>
      <c r="D70" s="105">
        <v>0.11085380351278799</v>
      </c>
      <c r="E70" s="104">
        <v>16898091.565100215</v>
      </c>
      <c r="F70" s="106">
        <v>95.941543666301058</v>
      </c>
      <c r="G70" s="104">
        <f t="shared" si="3"/>
        <v>95.941543666301058</v>
      </c>
      <c r="H70" s="104">
        <f t="shared" si="4"/>
        <v>16898091.565100215</v>
      </c>
      <c r="I70" s="107">
        <v>5.2085966507492296E-2</v>
      </c>
    </row>
    <row r="71" spans="1:14" x14ac:dyDescent="0.25">
      <c r="A71" s="147" t="s">
        <v>4</v>
      </c>
      <c r="B71" s="148">
        <v>51502</v>
      </c>
      <c r="C71" s="159" t="s">
        <v>157</v>
      </c>
      <c r="D71" s="150">
        <v>0.11116702213679901</v>
      </c>
      <c r="E71" s="151">
        <v>1460.5455296619361</v>
      </c>
      <c r="F71" s="152">
        <v>106.28649132412258</v>
      </c>
      <c r="G71" s="151">
        <f t="shared" si="3"/>
        <v>106.28649132412258</v>
      </c>
      <c r="H71" s="151">
        <f t="shared" si="4"/>
        <v>1460.5455296619361</v>
      </c>
      <c r="I71" s="153">
        <v>4.5019240928813155E-6</v>
      </c>
    </row>
    <row r="72" spans="1:14" x14ac:dyDescent="0.25">
      <c r="A72" s="102" t="s">
        <v>3</v>
      </c>
      <c r="B72" s="103">
        <v>52383</v>
      </c>
      <c r="C72" s="158" t="s">
        <v>152</v>
      </c>
      <c r="D72" s="105">
        <v>0.112099366955384</v>
      </c>
      <c r="E72" s="104">
        <v>14643786.984047642</v>
      </c>
      <c r="F72" s="106">
        <v>83.313502891757295</v>
      </c>
      <c r="G72" s="104">
        <f t="shared" si="3"/>
        <v>83.313502891757295</v>
      </c>
      <c r="H72" s="104">
        <f t="shared" si="4"/>
        <v>14643786.984047642</v>
      </c>
      <c r="I72" s="107">
        <v>4.5137392909459811E-2</v>
      </c>
    </row>
    <row r="73" spans="1:14" x14ac:dyDescent="0.25">
      <c r="A73" s="102" t="s">
        <v>2</v>
      </c>
      <c r="B73" s="103">
        <v>52597</v>
      </c>
      <c r="C73" s="158" t="s">
        <v>165</v>
      </c>
      <c r="D73" s="105">
        <v>0.112394994726186</v>
      </c>
      <c r="E73" s="104">
        <v>15776407.435315449</v>
      </c>
      <c r="F73" s="106">
        <v>117.1635884218753</v>
      </c>
      <c r="G73" s="104">
        <f t="shared" si="3"/>
        <v>117.1635884218753</v>
      </c>
      <c r="H73" s="104">
        <f t="shared" si="4"/>
        <v>15776407.435315449</v>
      </c>
      <c r="I73" s="107">
        <v>4.8628534537090463E-2</v>
      </c>
    </row>
    <row r="74" spans="1:14" x14ac:dyDescent="0.25">
      <c r="A74" s="102" t="s">
        <v>1</v>
      </c>
      <c r="B74" s="103">
        <v>52749</v>
      </c>
      <c r="C74" s="158" t="s">
        <v>165</v>
      </c>
      <c r="D74" s="105">
        <v>0.112616322642629</v>
      </c>
      <c r="E74" s="104">
        <v>14282801.787564125</v>
      </c>
      <c r="F74" s="106">
        <v>117.11145295361506</v>
      </c>
      <c r="G74" s="104">
        <f t="shared" si="3"/>
        <v>117.11145295361506</v>
      </c>
      <c r="H74" s="104">
        <f t="shared" si="4"/>
        <v>14282801.787564125</v>
      </c>
      <c r="I74" s="107">
        <v>4.4024707327108399E-2</v>
      </c>
    </row>
    <row r="75" spans="1:14" x14ac:dyDescent="0.25">
      <c r="A75" s="75" t="s">
        <v>0</v>
      </c>
      <c r="B75" s="76">
        <v>53022</v>
      </c>
      <c r="C75" s="160" t="s">
        <v>166</v>
      </c>
      <c r="D75" s="78">
        <v>0.113022826552336</v>
      </c>
      <c r="E75" s="77">
        <v>53520966.759513177</v>
      </c>
      <c r="F75" s="79">
        <v>109.23060124873358</v>
      </c>
      <c r="G75" s="77">
        <f t="shared" si="3"/>
        <v>109.23060124873358</v>
      </c>
      <c r="H75" s="77">
        <f t="shared" si="4"/>
        <v>53520966.759513177</v>
      </c>
      <c r="I75" s="109">
        <v>0.16497077621724196</v>
      </c>
    </row>
    <row r="76" spans="1:14" x14ac:dyDescent="0.25">
      <c r="E76" s="67">
        <v>324426956.01455468</v>
      </c>
      <c r="F76" s="68">
        <f>SUM(F19:F75)</f>
        <v>5922.674022784292</v>
      </c>
      <c r="H76" s="67">
        <f>SUM(H19:H75)</f>
        <v>324426956.01455468</v>
      </c>
      <c r="I76" s="72">
        <f>SUM(I19:I75)</f>
        <v>1.0000000000000919</v>
      </c>
    </row>
  </sheetData>
  <phoneticPr fontId="7" type="noConversion"/>
  <pageMargins left="0.7" right="0.7" top="0.75" bottom="0.75" header="0.3" footer="0.3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E364-4B50-412B-B978-1261E77967BB}">
  <dimension ref="A1:E7"/>
  <sheetViews>
    <sheetView workbookViewId="0">
      <selection activeCell="D24" sqref="D24"/>
    </sheetView>
  </sheetViews>
  <sheetFormatPr defaultRowHeight="13.2" x14ac:dyDescent="0.25"/>
  <cols>
    <col min="1" max="1" width="16.109375" customWidth="1"/>
    <col min="2" max="2" width="18.6640625" customWidth="1"/>
    <col min="3" max="3" width="17.33203125" customWidth="1"/>
    <col min="4" max="4" width="17.21875" customWidth="1"/>
    <col min="5" max="5" width="13.109375" customWidth="1"/>
  </cols>
  <sheetData>
    <row r="1" spans="1:5" x14ac:dyDescent="0.25">
      <c r="A1" s="81" t="s">
        <v>170</v>
      </c>
    </row>
    <row r="4" spans="1:5" x14ac:dyDescent="0.25">
      <c r="B4" s="89" t="s">
        <v>171</v>
      </c>
      <c r="C4" s="89" t="s">
        <v>172</v>
      </c>
      <c r="D4" s="89" t="s">
        <v>173</v>
      </c>
      <c r="E4" s="89" t="s">
        <v>75</v>
      </c>
    </row>
    <row r="5" spans="1:5" x14ac:dyDescent="0.25">
      <c r="B5" s="82">
        <v>0</v>
      </c>
      <c r="C5" s="83">
        <v>0</v>
      </c>
      <c r="D5" s="63">
        <v>324426956.01452488</v>
      </c>
      <c r="E5" s="63">
        <v>59.222476303577423</v>
      </c>
    </row>
    <row r="6" spans="1:5" x14ac:dyDescent="0.25">
      <c r="B6" s="82">
        <v>100</v>
      </c>
      <c r="C6" s="74">
        <v>1E-4</v>
      </c>
      <c r="D6" s="63">
        <v>324245622.77702391</v>
      </c>
      <c r="E6" s="63">
        <v>-4435.9224460124969</v>
      </c>
    </row>
    <row r="7" spans="1:5" x14ac:dyDescent="0.25">
      <c r="B7" s="82">
        <v>-100</v>
      </c>
      <c r="C7" s="74">
        <v>-1E-4</v>
      </c>
      <c r="D7" s="63">
        <v>324608422.05996585</v>
      </c>
      <c r="E7" s="63">
        <v>4592.4212148189545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D5E0-7EC2-4710-8959-85FF20CDCC39}">
  <dimension ref="A1:N74"/>
  <sheetViews>
    <sheetView topLeftCell="A11" workbookViewId="0">
      <selection activeCell="H23" sqref="H23"/>
    </sheetView>
  </sheetViews>
  <sheetFormatPr defaultRowHeight="13.2" x14ac:dyDescent="0.25"/>
  <cols>
    <col min="1" max="1" width="16.77734375" customWidth="1"/>
    <col min="2" max="2" width="13.6640625" customWidth="1"/>
    <col min="3" max="3" width="19.88671875" customWidth="1"/>
    <col min="4" max="4" width="14.44140625" customWidth="1"/>
    <col min="5" max="5" width="12.21875" customWidth="1"/>
    <col min="6" max="6" width="16.109375" bestFit="1" customWidth="1"/>
    <col min="7" max="7" width="10.44140625" bestFit="1" customWidth="1"/>
    <col min="8" max="8" width="13.88671875" customWidth="1"/>
    <col min="9" max="9" width="19.5546875" customWidth="1"/>
  </cols>
  <sheetData>
    <row r="1" spans="1:14" x14ac:dyDescent="0.25">
      <c r="A1" s="81" t="s">
        <v>174</v>
      </c>
      <c r="B1" s="80"/>
      <c r="C1" s="80"/>
      <c r="D1" s="80"/>
      <c r="E1" s="80"/>
    </row>
    <row r="3" spans="1:14" x14ac:dyDescent="0.25">
      <c r="A3" s="84" t="s">
        <v>175</v>
      </c>
      <c r="B3" s="85">
        <v>46316</v>
      </c>
      <c r="C3" s="85"/>
    </row>
    <row r="5" spans="1:14" ht="28.8" x14ac:dyDescent="0.25">
      <c r="A5" s="89" t="s">
        <v>83</v>
      </c>
      <c r="B5" s="89" t="s">
        <v>62</v>
      </c>
      <c r="C5" s="115" t="s">
        <v>134</v>
      </c>
      <c r="D5" s="115" t="s">
        <v>176</v>
      </c>
      <c r="E5" s="115" t="s">
        <v>177</v>
      </c>
      <c r="F5" s="115" t="s">
        <v>57</v>
      </c>
      <c r="G5" s="115" t="s">
        <v>77</v>
      </c>
      <c r="H5" s="115" t="s">
        <v>76</v>
      </c>
      <c r="I5" s="116" t="s">
        <v>191</v>
      </c>
      <c r="J5" s="115" t="s">
        <v>55</v>
      </c>
      <c r="L5" s="86" t="s">
        <v>180</v>
      </c>
      <c r="M5" s="86" t="s">
        <v>181</v>
      </c>
      <c r="N5" s="86" t="s">
        <v>182</v>
      </c>
    </row>
    <row r="6" spans="1:14" x14ac:dyDescent="0.25">
      <c r="A6" t="s">
        <v>74</v>
      </c>
      <c r="B6" s="2">
        <v>46874</v>
      </c>
      <c r="C6" s="7">
        <v>45256564</v>
      </c>
      <c r="D6" s="61">
        <f>YEARFRAC($B$3,B6)</f>
        <v>1.5277777777777777</v>
      </c>
      <c r="E6" s="4">
        <v>8.7588001561776999E-2</v>
      </c>
      <c r="F6" s="63">
        <f>PRICE($B$3,B6,0,E6,C6,2,0)</f>
        <v>39701145.115582615</v>
      </c>
      <c r="G6" s="4">
        <f>I6/$I$16</f>
        <v>3.2834853481696055E-2</v>
      </c>
      <c r="H6">
        <f>MDURATION($B$3,B6,0,E6,2,1)</f>
        <v>1.4657023351382321</v>
      </c>
      <c r="I6" s="64">
        <f>F6*D6</f>
        <v>60654527.259917878</v>
      </c>
      <c r="J6">
        <f>DURATION($B$3,B6,0,E6,2,1)</f>
        <v>1.5298913043478262</v>
      </c>
      <c r="L6" s="87" t="s">
        <v>183</v>
      </c>
      <c r="M6" s="88">
        <v>5.8828778837734585</v>
      </c>
      <c r="N6" s="88">
        <v>5.8828841692607616</v>
      </c>
    </row>
    <row r="7" spans="1:14" x14ac:dyDescent="0.25">
      <c r="A7" t="s">
        <v>73</v>
      </c>
      <c r="B7" s="2">
        <v>47239</v>
      </c>
      <c r="C7" s="7">
        <v>61203541</v>
      </c>
      <c r="D7" s="61">
        <f t="shared" ref="D7:D15" si="0">YEARFRAC($B$3,B7)</f>
        <v>2.5277777777777777</v>
      </c>
      <c r="E7" s="4">
        <v>9.4347099307709806E-2</v>
      </c>
      <c r="F7" s="63">
        <f t="shared" ref="F7:F15" si="1">PRICE($B$3,B7,0,E7,C7,2,0)</f>
        <v>48480945.587196283</v>
      </c>
      <c r="G7" s="4">
        <f t="shared" ref="G7:G15" si="2">I7/$I$16</f>
        <v>6.6340972544722418E-2</v>
      </c>
      <c r="H7">
        <f t="shared" ref="H7:H15" si="3">MDURATION($B$3,B7,0,E7,2,1)</f>
        <v>2.4159236118827545</v>
      </c>
      <c r="I7" s="64">
        <f t="shared" ref="I7:I15" si="4">F7*D7</f>
        <v>122549056.90096837</v>
      </c>
      <c r="J7">
        <f t="shared" ref="J7:J15" si="5">DURATION($B$3,B7,0,E7,2,1)</f>
        <v>2.5298913043478262</v>
      </c>
      <c r="L7" s="87" t="s">
        <v>184</v>
      </c>
      <c r="M7" s="88">
        <v>6.8482424623169225</v>
      </c>
      <c r="N7" s="89">
        <v>6.8482388832482011</v>
      </c>
    </row>
    <row r="8" spans="1:14" x14ac:dyDescent="0.25">
      <c r="A8" t="s">
        <v>72</v>
      </c>
      <c r="B8" s="2">
        <v>47665</v>
      </c>
      <c r="C8" s="7">
        <v>87456123</v>
      </c>
      <c r="D8" s="61">
        <f t="shared" si="0"/>
        <v>3.6944444444444446</v>
      </c>
      <c r="E8" s="4">
        <v>9.8697974086844401E-2</v>
      </c>
      <c r="F8" s="63">
        <f t="shared" si="1"/>
        <v>61265368.811600573</v>
      </c>
      <c r="G8" s="4">
        <f t="shared" si="2"/>
        <v>0.12252819983009773</v>
      </c>
      <c r="H8">
        <f t="shared" si="3"/>
        <v>3.5218523289622397</v>
      </c>
      <c r="I8" s="64">
        <f t="shared" si="4"/>
        <v>226341501.44285768</v>
      </c>
      <c r="J8">
        <f t="shared" si="5"/>
        <v>3.6956521739130439</v>
      </c>
    </row>
    <row r="9" spans="1:14" x14ac:dyDescent="0.25">
      <c r="A9" t="s">
        <v>71</v>
      </c>
      <c r="B9" s="2">
        <v>47983</v>
      </c>
      <c r="C9" s="7">
        <v>62235132</v>
      </c>
      <c r="D9" s="61">
        <f t="shared" si="0"/>
        <v>4.5666666666666664</v>
      </c>
      <c r="E9" s="4">
        <v>9.97316027678741E-2</v>
      </c>
      <c r="F9" s="63">
        <f t="shared" si="1"/>
        <v>39903746.640222177</v>
      </c>
      <c r="G9" s="4">
        <f t="shared" si="2"/>
        <v>9.8647219198343739E-2</v>
      </c>
      <c r="H9">
        <f t="shared" si="3"/>
        <v>4.3509701683655431</v>
      </c>
      <c r="I9" s="64">
        <f t="shared" si="4"/>
        <v>182227109.65701461</v>
      </c>
      <c r="J9">
        <f t="shared" si="5"/>
        <v>4.5679347826086945</v>
      </c>
    </row>
    <row r="10" spans="1:14" x14ac:dyDescent="0.25">
      <c r="A10" t="s">
        <v>70</v>
      </c>
      <c r="B10" s="2">
        <v>48396</v>
      </c>
      <c r="C10" s="7">
        <v>29568423</v>
      </c>
      <c r="D10" s="61">
        <f t="shared" si="0"/>
        <v>5.6944444444444446</v>
      </c>
      <c r="E10" s="4">
        <v>0.10180000428526099</v>
      </c>
      <c r="F10" s="63">
        <f t="shared" si="1"/>
        <v>16798397.518721115</v>
      </c>
      <c r="G10" s="4">
        <f t="shared" si="2"/>
        <v>5.1783461169917312E-2</v>
      </c>
      <c r="H10">
        <f t="shared" si="3"/>
        <v>5.4197851006760374</v>
      </c>
      <c r="I10" s="64">
        <f t="shared" si="4"/>
        <v>95657541.426050797</v>
      </c>
      <c r="J10">
        <f t="shared" si="5"/>
        <v>5.6956521739130439</v>
      </c>
    </row>
    <row r="11" spans="1:14" x14ac:dyDescent="0.25">
      <c r="A11" t="s">
        <v>69</v>
      </c>
      <c r="B11" s="2">
        <v>48731</v>
      </c>
      <c r="C11" s="7">
        <v>38325789</v>
      </c>
      <c r="D11" s="61">
        <f t="shared" si="0"/>
        <v>6.6111111111111107</v>
      </c>
      <c r="E11" s="4">
        <v>0.104290991963039</v>
      </c>
      <c r="F11" s="63">
        <f t="shared" si="1"/>
        <v>19570411.867678262</v>
      </c>
      <c r="G11" s="4">
        <f t="shared" si="2"/>
        <v>7.0040023390050346E-2</v>
      </c>
      <c r="H11">
        <f t="shared" si="3"/>
        <v>6.2843227321477162</v>
      </c>
      <c r="I11" s="64">
        <f t="shared" si="4"/>
        <v>129382167.3474285</v>
      </c>
      <c r="J11">
        <f t="shared" si="5"/>
        <v>6.6120218579234971</v>
      </c>
    </row>
    <row r="12" spans="1:14" x14ac:dyDescent="0.25">
      <c r="A12" t="s">
        <v>68</v>
      </c>
      <c r="B12" s="2">
        <v>49202</v>
      </c>
      <c r="C12" s="7">
        <v>97235165</v>
      </c>
      <c r="D12" s="61">
        <f t="shared" si="0"/>
        <v>7.9</v>
      </c>
      <c r="E12" s="4">
        <v>0.10761082282390801</v>
      </c>
      <c r="F12" s="63">
        <f t="shared" si="1"/>
        <v>42482361.485777624</v>
      </c>
      <c r="G12" s="4">
        <f t="shared" si="2"/>
        <v>0.18168020106429184</v>
      </c>
      <c r="H12">
        <f t="shared" si="3"/>
        <v>7.4971644675862814</v>
      </c>
      <c r="I12" s="64">
        <f t="shared" si="4"/>
        <v>335610655.73764324</v>
      </c>
      <c r="J12">
        <f t="shared" si="5"/>
        <v>7.900552486187844</v>
      </c>
    </row>
    <row r="13" spans="1:14" x14ac:dyDescent="0.25">
      <c r="A13" t="s">
        <v>67</v>
      </c>
      <c r="B13" s="2">
        <v>49475</v>
      </c>
      <c r="C13" s="7">
        <v>89456789</v>
      </c>
      <c r="D13" s="61">
        <f t="shared" si="0"/>
        <v>8.65</v>
      </c>
      <c r="E13" s="4">
        <v>0.108831591619434</v>
      </c>
      <c r="F13" s="63">
        <f t="shared" si="1"/>
        <v>35769047.733412877</v>
      </c>
      <c r="G13" s="4">
        <f t="shared" si="2"/>
        <v>0.16749249277792741</v>
      </c>
      <c r="H13">
        <f t="shared" si="3"/>
        <v>8.2038539809629043</v>
      </c>
      <c r="I13" s="64">
        <f t="shared" si="4"/>
        <v>309402262.89402139</v>
      </c>
      <c r="J13">
        <f t="shared" si="5"/>
        <v>8.6502732240437155</v>
      </c>
    </row>
    <row r="14" spans="1:14" x14ac:dyDescent="0.25">
      <c r="A14" t="s">
        <v>66</v>
      </c>
      <c r="B14" s="2">
        <v>49902</v>
      </c>
      <c r="C14" s="7">
        <v>90125478</v>
      </c>
      <c r="D14" s="61">
        <f t="shared" si="0"/>
        <v>9.8166666666666664</v>
      </c>
      <c r="E14" s="4">
        <v>0.10979071637453799</v>
      </c>
      <c r="F14" s="63">
        <f t="shared" si="1"/>
        <v>31562403.024586536</v>
      </c>
      <c r="G14" s="4">
        <f t="shared" si="2"/>
        <v>0.16772815353159126</v>
      </c>
      <c r="H14">
        <f t="shared" si="3"/>
        <v>9.307022451477863</v>
      </c>
      <c r="I14" s="64">
        <f t="shared" si="4"/>
        <v>309837589.69135779</v>
      </c>
      <c r="J14">
        <f t="shared" si="5"/>
        <v>9.8179347826086953</v>
      </c>
    </row>
    <row r="15" spans="1:14" x14ac:dyDescent="0.25">
      <c r="A15" t="s">
        <v>65</v>
      </c>
      <c r="B15" s="2">
        <v>50222</v>
      </c>
      <c r="C15" s="7">
        <v>22258946</v>
      </c>
      <c r="D15" s="61">
        <f t="shared" si="0"/>
        <v>10.694444444444445</v>
      </c>
      <c r="E15" s="4">
        <v>0.110183508677714</v>
      </c>
      <c r="F15" s="63">
        <f t="shared" si="1"/>
        <v>7068910.3822962577</v>
      </c>
      <c r="G15" s="4">
        <f t="shared" si="2"/>
        <v>4.0924423011361816E-2</v>
      </c>
      <c r="H15">
        <f t="shared" si="3"/>
        <v>10.137177292808214</v>
      </c>
      <c r="I15" s="64">
        <f t="shared" si="4"/>
        <v>75598069.366223872</v>
      </c>
      <c r="J15">
        <f t="shared" si="5"/>
        <v>10.695652173913043</v>
      </c>
    </row>
    <row r="16" spans="1:14" x14ac:dyDescent="0.25">
      <c r="F16" s="67">
        <f>SUM(F6:F15)</f>
        <v>342602738.16707432</v>
      </c>
      <c r="G16" s="65">
        <f>SUM(G6:G15)</f>
        <v>0.99999999999999989</v>
      </c>
      <c r="H16">
        <f>SUMPRODUCT(G6:G15,H6:H15)</f>
        <v>6.5020256436241413</v>
      </c>
      <c r="I16" s="64">
        <f>SUM(I6:I15)</f>
        <v>1847260481.7234843</v>
      </c>
      <c r="J16" s="66">
        <f>SUMPRODUCT(G6:G15,J6:J15)</f>
        <v>6.8482388832482011</v>
      </c>
    </row>
    <row r="19" spans="1:10" x14ac:dyDescent="0.25">
      <c r="A19" s="115" t="s">
        <v>63</v>
      </c>
      <c r="B19" s="115" t="s">
        <v>62</v>
      </c>
      <c r="C19" s="115" t="s">
        <v>134</v>
      </c>
      <c r="D19" s="115" t="s">
        <v>179</v>
      </c>
      <c r="E19" s="115" t="s">
        <v>178</v>
      </c>
      <c r="F19" s="115" t="s">
        <v>177</v>
      </c>
      <c r="G19" s="115" t="s">
        <v>57</v>
      </c>
      <c r="H19" s="115" t="s">
        <v>77</v>
      </c>
      <c r="I19" s="115" t="s">
        <v>76</v>
      </c>
      <c r="J19" s="115" t="s">
        <v>55</v>
      </c>
    </row>
    <row r="20" spans="1:10" x14ac:dyDescent="0.25">
      <c r="A20" s="117" t="s">
        <v>53</v>
      </c>
      <c r="B20" s="118">
        <v>46157</v>
      </c>
      <c r="C20" s="119" t="e">
        <f>H20*$F$16</f>
        <v>#NUM!</v>
      </c>
      <c r="D20" s="120" t="s">
        <v>141</v>
      </c>
      <c r="E20" s="121">
        <f>YEARFRAC($B$3,B20)</f>
        <v>0.43333333333333335</v>
      </c>
      <c r="F20" s="122">
        <v>8.3427828828018302E-2</v>
      </c>
      <c r="G20" s="123" t="e">
        <f>PRICE($B$3,B20,D20,F20,100,2,1)</f>
        <v>#NUM!</v>
      </c>
      <c r="H20" s="122" t="e">
        <f>G20/$G$74</f>
        <v>#NUM!</v>
      </c>
      <c r="I20" s="120" t="e">
        <f>MDURATION($B$3,B20,D20,F20,2,1)</f>
        <v>#NUM!</v>
      </c>
      <c r="J20" s="120" t="e">
        <f>DURATION($B$3,B20,D20,F20,2,1)</f>
        <v>#NUM!</v>
      </c>
    </row>
    <row r="21" spans="1:10" x14ac:dyDescent="0.25">
      <c r="A21" s="117" t="s">
        <v>52</v>
      </c>
      <c r="B21" s="118">
        <v>46174</v>
      </c>
      <c r="C21" s="119" t="e">
        <f t="shared" ref="C21:C73" si="6">H21*$F$16</f>
        <v>#NUM!</v>
      </c>
      <c r="D21" s="120" t="s">
        <v>142</v>
      </c>
      <c r="E21" s="121">
        <f t="shared" ref="E21:E73" si="7">YEARFRAC($B$3,B21)</f>
        <v>0.3888888888888889</v>
      </c>
      <c r="F21" s="122">
        <v>8.3431556483986299E-2</v>
      </c>
      <c r="G21" s="123" t="e">
        <f t="shared" ref="G21:G22" si="8">PRICE($B$3,B21,D21,F21,100,2,1)</f>
        <v>#NUM!</v>
      </c>
      <c r="H21" s="122" t="e">
        <f t="shared" ref="H21:H22" si="9">G21/$G$74</f>
        <v>#NUM!</v>
      </c>
      <c r="I21" s="120" t="e">
        <f t="shared" ref="I21:I73" si="10">MDURATION($B$3,B21,D21,F21,2,1)</f>
        <v>#NUM!</v>
      </c>
      <c r="J21" s="120" t="e">
        <f t="shared" ref="J21:J73" si="11">DURATION($B$3,B21,D21,F21,2,1)</f>
        <v>#NUM!</v>
      </c>
    </row>
    <row r="22" spans="1:10" x14ac:dyDescent="0.25">
      <c r="A22" s="117" t="s">
        <v>51</v>
      </c>
      <c r="B22" s="118">
        <v>46235</v>
      </c>
      <c r="C22" s="119" t="e">
        <f t="shared" si="6"/>
        <v>#NUM!</v>
      </c>
      <c r="D22" s="120" t="s">
        <v>143</v>
      </c>
      <c r="E22" s="121">
        <f t="shared" si="7"/>
        <v>0.22222222222222221</v>
      </c>
      <c r="F22" s="122">
        <v>8.3608492583348099E-2</v>
      </c>
      <c r="G22" s="123" t="e">
        <f t="shared" si="8"/>
        <v>#NUM!</v>
      </c>
      <c r="H22" s="122" t="e">
        <f t="shared" si="9"/>
        <v>#NUM!</v>
      </c>
      <c r="I22" s="120" t="e">
        <f t="shared" si="10"/>
        <v>#NUM!</v>
      </c>
      <c r="J22" s="120" t="e">
        <f t="shared" si="11"/>
        <v>#NUM!</v>
      </c>
    </row>
    <row r="23" spans="1:10" x14ac:dyDescent="0.25">
      <c r="A23" s="1" t="s">
        <v>50</v>
      </c>
      <c r="B23" s="2">
        <v>46371</v>
      </c>
      <c r="C23" s="64">
        <f t="shared" si="6"/>
        <v>0</v>
      </c>
      <c r="D23" t="s">
        <v>144</v>
      </c>
      <c r="E23" s="62">
        <f t="shared" si="7"/>
        <v>0.15</v>
      </c>
      <c r="F23" s="4">
        <v>8.3769639825629405E-2</v>
      </c>
      <c r="G23" s="63">
        <f>PRICE($B$3,B23,D23,F23,100,2,1)</f>
        <v>100.3774609102794</v>
      </c>
      <c r="H23" s="4">
        <v>0</v>
      </c>
      <c r="I23">
        <f t="shared" si="10"/>
        <v>0.14423208897149573</v>
      </c>
      <c r="J23">
        <f t="shared" si="11"/>
        <v>0.1502732240437159</v>
      </c>
    </row>
    <row r="24" spans="1:10" x14ac:dyDescent="0.25">
      <c r="A24" s="1" t="s">
        <v>49</v>
      </c>
      <c r="B24" s="2">
        <v>46402</v>
      </c>
      <c r="C24" s="64">
        <f t="shared" si="6"/>
        <v>0</v>
      </c>
      <c r="D24" t="s">
        <v>145</v>
      </c>
      <c r="E24" s="62">
        <f t="shared" si="7"/>
        <v>0.23333333333333334</v>
      </c>
      <c r="F24" s="4">
        <v>8.3588368850297495E-2</v>
      </c>
      <c r="G24" s="63">
        <f t="shared" ref="G24:G73" si="12">PRICE($B$3,B24,D24,F24,100,2,1)</f>
        <v>100.63892233654148</v>
      </c>
      <c r="H24" s="4">
        <v>0</v>
      </c>
      <c r="I24">
        <f t="shared" si="10"/>
        <v>0.22432036544997982</v>
      </c>
      <c r="J24">
        <f t="shared" si="11"/>
        <v>0.23369565217391305</v>
      </c>
    </row>
    <row r="25" spans="1:10" x14ac:dyDescent="0.25">
      <c r="A25" s="1" t="s">
        <v>48</v>
      </c>
      <c r="B25" s="2">
        <v>46508</v>
      </c>
      <c r="C25" s="64">
        <f t="shared" si="6"/>
        <v>0</v>
      </c>
      <c r="D25" t="s">
        <v>146</v>
      </c>
      <c r="E25" s="62">
        <f t="shared" si="7"/>
        <v>0.52777777777777779</v>
      </c>
      <c r="F25" s="4">
        <v>8.3476913319228699E-2</v>
      </c>
      <c r="G25" s="63">
        <f t="shared" si="12"/>
        <v>104.89338883406137</v>
      </c>
      <c r="H25" s="4">
        <v>0</v>
      </c>
      <c r="I25">
        <f t="shared" si="10"/>
        <v>0.4706460200657207</v>
      </c>
      <c r="J25">
        <f t="shared" si="11"/>
        <v>0.4902900585762538</v>
      </c>
    </row>
    <row r="26" spans="1:10" x14ac:dyDescent="0.25">
      <c r="A26" s="1" t="s">
        <v>47</v>
      </c>
      <c r="B26" s="2">
        <v>46553</v>
      </c>
      <c r="C26" s="64">
        <f t="shared" si="6"/>
        <v>0</v>
      </c>
      <c r="D26" t="s">
        <v>147</v>
      </c>
      <c r="E26" s="62">
        <f t="shared" si="7"/>
        <v>0.65</v>
      </c>
      <c r="F26" s="4">
        <v>8.3649056659922699E-2</v>
      </c>
      <c r="G26" s="63">
        <f t="shared" si="12"/>
        <v>102.07462869963615</v>
      </c>
      <c r="H26" s="4">
        <v>0</v>
      </c>
      <c r="I26">
        <f t="shared" si="10"/>
        <v>0.59793902312449765</v>
      </c>
      <c r="J26">
        <f t="shared" si="11"/>
        <v>0.62294754073675762</v>
      </c>
    </row>
    <row r="27" spans="1:10" x14ac:dyDescent="0.25">
      <c r="A27" s="1" t="s">
        <v>46</v>
      </c>
      <c r="B27" s="2">
        <v>46614</v>
      </c>
      <c r="C27" s="64">
        <f t="shared" si="6"/>
        <v>0</v>
      </c>
      <c r="D27" t="s">
        <v>148</v>
      </c>
      <c r="E27" s="62">
        <f t="shared" si="7"/>
        <v>0.81666666666666665</v>
      </c>
      <c r="F27" s="4">
        <v>8.4064042989909493E-2</v>
      </c>
      <c r="G27" s="63">
        <f t="shared" si="12"/>
        <v>99.511588099315048</v>
      </c>
      <c r="H27" s="4">
        <v>0</v>
      </c>
      <c r="I27">
        <f t="shared" si="10"/>
        <v>0.76688049157326765</v>
      </c>
      <c r="J27">
        <f t="shared" si="11"/>
        <v>0.79911402887913674</v>
      </c>
    </row>
    <row r="28" spans="1:10" x14ac:dyDescent="0.25">
      <c r="A28" s="1" t="s">
        <v>45</v>
      </c>
      <c r="B28" s="2">
        <v>46645</v>
      </c>
      <c r="C28" s="64">
        <f t="shared" si="6"/>
        <v>0</v>
      </c>
      <c r="D28" t="s">
        <v>149</v>
      </c>
      <c r="E28" s="62">
        <f t="shared" si="7"/>
        <v>0.9</v>
      </c>
      <c r="F28" s="4">
        <v>8.43422795460472E-2</v>
      </c>
      <c r="G28" s="63">
        <f t="shared" si="12"/>
        <v>109.7989236921448</v>
      </c>
      <c r="H28" s="4">
        <v>0</v>
      </c>
      <c r="I28">
        <f t="shared" si="10"/>
        <v>0.82259115049258014</v>
      </c>
      <c r="J28">
        <f t="shared" si="11"/>
        <v>0.85728075687605498</v>
      </c>
    </row>
    <row r="29" spans="1:10" x14ac:dyDescent="0.25">
      <c r="A29" s="1" t="s">
        <v>44</v>
      </c>
      <c r="B29" s="2">
        <v>46675</v>
      </c>
      <c r="C29" s="64">
        <f t="shared" si="6"/>
        <v>0</v>
      </c>
      <c r="D29" t="s">
        <v>150</v>
      </c>
      <c r="E29" s="62">
        <f t="shared" si="7"/>
        <v>0.98333333333333328</v>
      </c>
      <c r="F29" s="4">
        <v>8.4663351550033794E-2</v>
      </c>
      <c r="G29" s="63">
        <f t="shared" si="12"/>
        <v>101.69282502131004</v>
      </c>
      <c r="H29" s="4">
        <v>0</v>
      </c>
      <c r="I29">
        <f t="shared" si="10"/>
        <v>0.92027406830799641</v>
      </c>
      <c r="J29">
        <f t="shared" si="11"/>
        <v>0.95923081179176628</v>
      </c>
    </row>
    <row r="30" spans="1:10" x14ac:dyDescent="0.25">
      <c r="A30" s="1" t="s">
        <v>43</v>
      </c>
      <c r="B30" s="2">
        <v>46736</v>
      </c>
      <c r="C30" s="64">
        <f t="shared" si="6"/>
        <v>0</v>
      </c>
      <c r="D30" t="s">
        <v>144</v>
      </c>
      <c r="E30" s="62">
        <f t="shared" si="7"/>
        <v>1.1499999999999999</v>
      </c>
      <c r="F30" s="4">
        <v>8.5421021462811497E-2</v>
      </c>
      <c r="G30" s="63">
        <f t="shared" si="12"/>
        <v>102.88320154407886</v>
      </c>
      <c r="H30" s="4">
        <v>0</v>
      </c>
      <c r="I30">
        <f t="shared" si="10"/>
        <v>1.0293702350816389</v>
      </c>
      <c r="J30">
        <f t="shared" si="11"/>
        <v>1.0733351635536827</v>
      </c>
    </row>
    <row r="31" spans="1:10" x14ac:dyDescent="0.25">
      <c r="A31" s="1" t="s">
        <v>42</v>
      </c>
      <c r="B31" s="2">
        <v>46767</v>
      </c>
      <c r="C31" s="64">
        <f t="shared" si="6"/>
        <v>0</v>
      </c>
      <c r="D31" t="s">
        <v>146</v>
      </c>
      <c r="E31" s="62">
        <f t="shared" si="7"/>
        <v>1.2333333333333334</v>
      </c>
      <c r="F31" s="4">
        <v>8.5851129152231601E-2</v>
      </c>
      <c r="G31" s="63">
        <f t="shared" si="12"/>
        <v>110.75579110044829</v>
      </c>
      <c r="H31" s="4">
        <v>0</v>
      </c>
      <c r="I31">
        <f t="shared" si="10"/>
        <v>1.0745798703810689</v>
      </c>
      <c r="J31">
        <f t="shared" si="11"/>
        <v>1.1207068179993056</v>
      </c>
    </row>
    <row r="32" spans="1:10" x14ac:dyDescent="0.25">
      <c r="A32" s="1" t="s">
        <v>41</v>
      </c>
      <c r="B32" s="2">
        <v>46798</v>
      </c>
      <c r="C32" s="64">
        <f t="shared" si="6"/>
        <v>0</v>
      </c>
      <c r="D32" t="s">
        <v>151</v>
      </c>
      <c r="E32" s="62">
        <f t="shared" si="7"/>
        <v>1.3166666666666667</v>
      </c>
      <c r="F32" s="4">
        <v>8.6311091850758498E-2</v>
      </c>
      <c r="G32" s="63">
        <f t="shared" si="12"/>
        <v>102.56100324942494</v>
      </c>
      <c r="H32" s="4">
        <v>0</v>
      </c>
      <c r="I32">
        <f t="shared" si="10"/>
        <v>1.1924161236050816</v>
      </c>
      <c r="J32">
        <f t="shared" si="11"/>
        <v>1.2438754923894835</v>
      </c>
    </row>
    <row r="33" spans="1:10" x14ac:dyDescent="0.25">
      <c r="A33" s="1" t="s">
        <v>40</v>
      </c>
      <c r="B33" s="2">
        <v>46827</v>
      </c>
      <c r="C33" s="64">
        <f t="shared" si="6"/>
        <v>0</v>
      </c>
      <c r="D33" t="s">
        <v>151</v>
      </c>
      <c r="E33" s="62">
        <f t="shared" si="7"/>
        <v>1.4</v>
      </c>
      <c r="F33" s="4">
        <v>8.6797664448706596E-2</v>
      </c>
      <c r="G33" s="63">
        <f t="shared" si="12"/>
        <v>102.65782639712901</v>
      </c>
      <c r="H33" s="4">
        <v>0</v>
      </c>
      <c r="I33">
        <f t="shared" si="10"/>
        <v>1.2712941242480991</v>
      </c>
      <c r="J33">
        <f t="shared" si="11"/>
        <v>1.3264668046541483</v>
      </c>
    </row>
    <row r="34" spans="1:10" x14ac:dyDescent="0.25">
      <c r="A34" s="1" t="s">
        <v>39</v>
      </c>
      <c r="B34" s="2">
        <v>46874</v>
      </c>
      <c r="C34" s="64">
        <f t="shared" si="6"/>
        <v>0</v>
      </c>
      <c r="D34" t="s">
        <v>152</v>
      </c>
      <c r="E34" s="62">
        <f t="shared" si="7"/>
        <v>1.5277777777777777</v>
      </c>
      <c r="F34" s="4">
        <v>8.7588001561776999E-2</v>
      </c>
      <c r="G34" s="63">
        <f t="shared" si="12"/>
        <v>100.33302249519191</v>
      </c>
      <c r="H34" s="4">
        <v>0</v>
      </c>
      <c r="I34">
        <f t="shared" si="10"/>
        <v>1.3457429557162657</v>
      </c>
      <c r="J34">
        <f t="shared" si="11"/>
        <v>1.4046784237697791</v>
      </c>
    </row>
    <row r="35" spans="1:10" x14ac:dyDescent="0.25">
      <c r="A35" s="1" t="s">
        <v>38</v>
      </c>
      <c r="B35" s="2">
        <v>46935</v>
      </c>
      <c r="C35" s="64">
        <f t="shared" si="6"/>
        <v>0</v>
      </c>
      <c r="D35" t="s">
        <v>152</v>
      </c>
      <c r="E35" s="62">
        <f t="shared" si="7"/>
        <v>1.6944444444444444</v>
      </c>
      <c r="F35" s="4">
        <v>8.8682066755910505E-2</v>
      </c>
      <c r="G35" s="63">
        <f t="shared" si="12"/>
        <v>100.18005005583164</v>
      </c>
      <c r="H35" s="4">
        <v>0</v>
      </c>
      <c r="I35">
        <f t="shared" si="10"/>
        <v>1.5036285773896916</v>
      </c>
      <c r="J35">
        <f t="shared" si="11"/>
        <v>1.5703010223277754</v>
      </c>
    </row>
    <row r="36" spans="1:10" x14ac:dyDescent="0.25">
      <c r="A36" s="1" t="s">
        <v>37</v>
      </c>
      <c r="B36" s="2">
        <v>46997</v>
      </c>
      <c r="C36" s="64">
        <f t="shared" si="6"/>
        <v>0</v>
      </c>
      <c r="D36" t="s">
        <v>143</v>
      </c>
      <c r="E36" s="62">
        <f t="shared" si="7"/>
        <v>1.8611111111111112</v>
      </c>
      <c r="F36" s="4">
        <v>8.9823726892098499E-2</v>
      </c>
      <c r="G36" s="63">
        <f t="shared" si="12"/>
        <v>104.20471221330794</v>
      </c>
      <c r="H36" s="4">
        <v>0</v>
      </c>
      <c r="I36">
        <f t="shared" si="10"/>
        <v>1.6349749223842156</v>
      </c>
      <c r="J36">
        <f t="shared" si="11"/>
        <v>1.7084046928360506</v>
      </c>
    </row>
    <row r="37" spans="1:10" x14ac:dyDescent="0.25">
      <c r="A37" s="1" t="s">
        <v>36</v>
      </c>
      <c r="B37" s="2">
        <v>47041</v>
      </c>
      <c r="C37" s="64">
        <f t="shared" si="6"/>
        <v>0</v>
      </c>
      <c r="D37" t="s">
        <v>142</v>
      </c>
      <c r="E37" s="62">
        <f t="shared" si="7"/>
        <v>1.9833333333333334</v>
      </c>
      <c r="F37" s="4">
        <v>9.0676160604555203E-2</v>
      </c>
      <c r="G37" s="63">
        <f t="shared" si="12"/>
        <v>103.43353017517336</v>
      </c>
      <c r="H37" s="4">
        <v>0</v>
      </c>
      <c r="I37">
        <f t="shared" si="10"/>
        <v>1.7557191357190176</v>
      </c>
      <c r="J37">
        <f t="shared" si="11"/>
        <v>1.8353200708824919</v>
      </c>
    </row>
    <row r="38" spans="1:10" x14ac:dyDescent="0.25">
      <c r="A38" s="1" t="s">
        <v>35</v>
      </c>
      <c r="B38" s="2">
        <v>47102</v>
      </c>
      <c r="C38" s="64">
        <f t="shared" si="6"/>
        <v>0</v>
      </c>
      <c r="D38" t="s">
        <v>143</v>
      </c>
      <c r="E38" s="62">
        <f t="shared" si="7"/>
        <v>2.15</v>
      </c>
      <c r="F38" s="4">
        <v>9.18388202060859E-2</v>
      </c>
      <c r="G38" s="63">
        <f t="shared" si="12"/>
        <v>104.40087745039719</v>
      </c>
      <c r="H38" s="4">
        <v>0</v>
      </c>
      <c r="I38">
        <f t="shared" si="10"/>
        <v>1.8164852026973857</v>
      </c>
      <c r="J38">
        <f t="shared" si="11"/>
        <v>1.8998971316661559</v>
      </c>
    </row>
    <row r="39" spans="1:10" x14ac:dyDescent="0.25">
      <c r="A39" s="1" t="s">
        <v>34</v>
      </c>
      <c r="B39" s="2">
        <v>47119</v>
      </c>
      <c r="C39" s="64">
        <f t="shared" si="6"/>
        <v>0</v>
      </c>
      <c r="D39" t="s">
        <v>153</v>
      </c>
      <c r="E39" s="62">
        <f t="shared" si="7"/>
        <v>2.1944444444444446</v>
      </c>
      <c r="F39" s="4">
        <v>9.2145988480700505E-2</v>
      </c>
      <c r="G39" s="63">
        <f t="shared" si="12"/>
        <v>107.33756597577998</v>
      </c>
      <c r="H39" s="4">
        <v>0</v>
      </c>
      <c r="I39">
        <f t="shared" si="10"/>
        <v>1.8364837509196295</v>
      </c>
      <c r="J39">
        <f t="shared" si="11"/>
        <v>1.9210960561982462</v>
      </c>
    </row>
    <row r="40" spans="1:10" x14ac:dyDescent="0.25">
      <c r="A40" s="1" t="s">
        <v>33</v>
      </c>
      <c r="B40" s="2">
        <v>47239</v>
      </c>
      <c r="C40" s="64">
        <f t="shared" si="6"/>
        <v>0</v>
      </c>
      <c r="D40" t="s">
        <v>153</v>
      </c>
      <c r="E40" s="62">
        <f t="shared" si="7"/>
        <v>2.5277777777777777</v>
      </c>
      <c r="F40" s="4">
        <v>9.4347099307709806E-2</v>
      </c>
      <c r="G40" s="63">
        <f t="shared" si="12"/>
        <v>107.85270349094637</v>
      </c>
      <c r="H40" s="4">
        <v>0</v>
      </c>
      <c r="I40">
        <f t="shared" si="10"/>
        <v>2.0322084312882631</v>
      </c>
      <c r="J40">
        <f t="shared" si="11"/>
        <v>2.1280749166286226</v>
      </c>
    </row>
    <row r="41" spans="1:10" x14ac:dyDescent="0.25">
      <c r="A41" s="1" t="s">
        <v>32</v>
      </c>
      <c r="B41" s="2">
        <v>47284</v>
      </c>
      <c r="C41" s="64">
        <f t="shared" si="6"/>
        <v>0</v>
      </c>
      <c r="D41" t="s">
        <v>147</v>
      </c>
      <c r="E41" s="62">
        <f t="shared" si="7"/>
        <v>2.65</v>
      </c>
      <c r="F41" s="4">
        <v>9.5082766762326701E-2</v>
      </c>
      <c r="G41" s="63">
        <f t="shared" si="12"/>
        <v>105.11622774235373</v>
      </c>
      <c r="H41" s="4">
        <v>0</v>
      </c>
      <c r="I41">
        <f t="shared" si="10"/>
        <v>2.172443805121389</v>
      </c>
      <c r="J41">
        <f t="shared" si="11"/>
        <v>2.2757247889346983</v>
      </c>
    </row>
    <row r="42" spans="1:10" x14ac:dyDescent="0.25">
      <c r="A42" s="1" t="s">
        <v>31</v>
      </c>
      <c r="B42" s="2">
        <v>47314</v>
      </c>
      <c r="C42" s="64">
        <f t="shared" si="6"/>
        <v>0</v>
      </c>
      <c r="D42" t="s">
        <v>149</v>
      </c>
      <c r="E42" s="62">
        <f t="shared" si="7"/>
        <v>2.7333333333333334</v>
      </c>
      <c r="F42" s="4">
        <v>9.5553762833784306E-2</v>
      </c>
      <c r="G42" s="63">
        <f t="shared" si="12"/>
        <v>124.55904279614667</v>
      </c>
      <c r="H42" s="4">
        <v>0</v>
      </c>
      <c r="I42">
        <f t="shared" si="10"/>
        <v>2.1015137289396</v>
      </c>
      <c r="J42">
        <f t="shared" si="11"/>
        <v>2.201917501163118</v>
      </c>
    </row>
    <row r="43" spans="1:10" x14ac:dyDescent="0.25">
      <c r="A43" s="1" t="s">
        <v>30</v>
      </c>
      <c r="B43" s="2">
        <v>47376</v>
      </c>
      <c r="C43" s="64">
        <f t="shared" si="6"/>
        <v>0</v>
      </c>
      <c r="D43" t="s">
        <v>142</v>
      </c>
      <c r="E43" s="62">
        <f t="shared" si="7"/>
        <v>2.9</v>
      </c>
      <c r="F43" s="4">
        <v>9.64068389713163E-2</v>
      </c>
      <c r="G43" s="63">
        <f t="shared" si="12"/>
        <v>103.34911114297557</v>
      </c>
      <c r="H43" s="4">
        <v>0</v>
      </c>
      <c r="I43">
        <f t="shared" si="10"/>
        <v>2.4258163849587668</v>
      </c>
      <c r="J43">
        <f t="shared" si="11"/>
        <v>2.542749029758117</v>
      </c>
    </row>
    <row r="44" spans="1:10" x14ac:dyDescent="0.25">
      <c r="A44" s="1" t="s">
        <v>29</v>
      </c>
      <c r="B44" s="2">
        <v>47406</v>
      </c>
      <c r="C44" s="64">
        <f t="shared" si="6"/>
        <v>0</v>
      </c>
      <c r="D44" t="s">
        <v>154</v>
      </c>
      <c r="E44" s="62">
        <f t="shared" si="7"/>
        <v>2.9833333333333334</v>
      </c>
      <c r="F44" s="4">
        <v>9.67824288180196E-2</v>
      </c>
      <c r="G44" s="63">
        <f t="shared" si="12"/>
        <v>101.70160293773419</v>
      </c>
      <c r="H44" s="4">
        <v>0</v>
      </c>
      <c r="I44">
        <f t="shared" si="10"/>
        <v>2.5192718077012515</v>
      </c>
      <c r="J44">
        <f t="shared" si="11"/>
        <v>2.6411824299022961</v>
      </c>
    </row>
    <row r="45" spans="1:10" x14ac:dyDescent="0.25">
      <c r="A45" s="1" t="s">
        <v>28</v>
      </c>
      <c r="B45" s="2">
        <v>47467</v>
      </c>
      <c r="C45" s="64">
        <f t="shared" si="6"/>
        <v>0</v>
      </c>
      <c r="D45" t="s">
        <v>142</v>
      </c>
      <c r="E45" s="62">
        <f t="shared" si="7"/>
        <v>3.15</v>
      </c>
      <c r="F45" s="4">
        <v>9.7421528404809304E-2</v>
      </c>
      <c r="G45" s="63">
        <f t="shared" si="12"/>
        <v>103.31559958107546</v>
      </c>
      <c r="H45" s="4">
        <v>0</v>
      </c>
      <c r="I45">
        <f t="shared" si="10"/>
        <v>2.5348165359302919</v>
      </c>
      <c r="J45">
        <f t="shared" si="11"/>
        <v>2.6582893865083488</v>
      </c>
    </row>
    <row r="46" spans="1:10" x14ac:dyDescent="0.25">
      <c r="A46" s="1" t="s">
        <v>27</v>
      </c>
      <c r="B46" s="2">
        <v>47543</v>
      </c>
      <c r="C46" s="64">
        <f t="shared" si="6"/>
        <v>0</v>
      </c>
      <c r="D46" t="s">
        <v>155</v>
      </c>
      <c r="E46" s="62">
        <f t="shared" si="7"/>
        <v>3.3611111111111112</v>
      </c>
      <c r="F46" s="4">
        <v>9.8041194507298104E-2</v>
      </c>
      <c r="G46" s="63">
        <f t="shared" si="12"/>
        <v>99.123881278816199</v>
      </c>
      <c r="H46" s="4">
        <v>0</v>
      </c>
      <c r="I46">
        <f t="shared" si="10"/>
        <v>2.7815094434094703</v>
      </c>
      <c r="J46">
        <f t="shared" si="11"/>
        <v>2.9178606975920673</v>
      </c>
    </row>
    <row r="47" spans="1:10" x14ac:dyDescent="0.25">
      <c r="A47" s="1" t="s">
        <v>26</v>
      </c>
      <c r="B47" s="2">
        <v>47618</v>
      </c>
      <c r="C47" s="64">
        <f t="shared" si="6"/>
        <v>0</v>
      </c>
      <c r="D47" t="s">
        <v>142</v>
      </c>
      <c r="E47" s="62">
        <f t="shared" si="7"/>
        <v>3.5666666666666669</v>
      </c>
      <c r="F47" s="4">
        <v>9.8483395352618103E-2</v>
      </c>
      <c r="G47" s="63">
        <f t="shared" si="12"/>
        <v>103.37990862212203</v>
      </c>
      <c r="H47" s="4">
        <v>0</v>
      </c>
      <c r="I47">
        <f t="shared" si="10"/>
        <v>2.7859470316263235</v>
      </c>
      <c r="J47">
        <f t="shared" si="11"/>
        <v>2.9231317930998775</v>
      </c>
    </row>
    <row r="48" spans="1:10" x14ac:dyDescent="0.25">
      <c r="A48" s="1" t="s">
        <v>25</v>
      </c>
      <c r="B48" s="2">
        <v>47665</v>
      </c>
      <c r="C48" s="64">
        <f t="shared" si="6"/>
        <v>0</v>
      </c>
      <c r="D48" t="s">
        <v>156</v>
      </c>
      <c r="E48" s="62">
        <f t="shared" si="7"/>
        <v>3.6944444444444446</v>
      </c>
      <c r="F48" s="4">
        <v>9.8697974086844401E-2</v>
      </c>
      <c r="G48" s="63">
        <f t="shared" si="12"/>
        <v>99.608393437421853</v>
      </c>
      <c r="H48" s="4">
        <v>0</v>
      </c>
      <c r="I48">
        <f t="shared" si="10"/>
        <v>2.9548319726066978</v>
      </c>
      <c r="J48">
        <f t="shared" si="11"/>
        <v>3.1006499373383556</v>
      </c>
    </row>
    <row r="49" spans="1:10" x14ac:dyDescent="0.25">
      <c r="A49" s="1" t="s">
        <v>24</v>
      </c>
      <c r="B49" s="2">
        <v>47771</v>
      </c>
      <c r="C49" s="64">
        <f t="shared" si="6"/>
        <v>0</v>
      </c>
      <c r="D49" t="s">
        <v>142</v>
      </c>
      <c r="E49" s="62">
        <f t="shared" si="7"/>
        <v>3.9833333333333334</v>
      </c>
      <c r="F49" s="4">
        <v>9.9076769193821093E-2</v>
      </c>
      <c r="G49" s="63">
        <f t="shared" si="12"/>
        <v>103.52040174076232</v>
      </c>
      <c r="H49" s="4">
        <v>0</v>
      </c>
      <c r="I49">
        <f t="shared" si="10"/>
        <v>3.1804564460924012</v>
      </c>
      <c r="J49">
        <f t="shared" si="11"/>
        <v>3.3380111207126499</v>
      </c>
    </row>
    <row r="50" spans="1:10" x14ac:dyDescent="0.25">
      <c r="A50" s="1" t="s">
        <v>23</v>
      </c>
      <c r="B50" s="2">
        <v>47922</v>
      </c>
      <c r="C50" s="64">
        <f t="shared" si="6"/>
        <v>0</v>
      </c>
      <c r="D50" t="s">
        <v>144</v>
      </c>
      <c r="E50" s="62">
        <f t="shared" si="7"/>
        <v>4.4000000000000004</v>
      </c>
      <c r="F50" s="4">
        <v>9.9539280834124194E-2</v>
      </c>
      <c r="G50" s="63">
        <f t="shared" si="12"/>
        <v>104.50755651090105</v>
      </c>
      <c r="H50" s="4">
        <v>0</v>
      </c>
      <c r="I50">
        <f t="shared" si="10"/>
        <v>3.4042133549261546</v>
      </c>
      <c r="J50">
        <f t="shared" si="11"/>
        <v>3.5736398295037897</v>
      </c>
    </row>
    <row r="51" spans="1:10" x14ac:dyDescent="0.25">
      <c r="A51" s="1" t="s">
        <v>22</v>
      </c>
      <c r="B51" s="2">
        <v>47983</v>
      </c>
      <c r="C51" s="64">
        <f t="shared" si="6"/>
        <v>0</v>
      </c>
      <c r="D51" t="s">
        <v>146</v>
      </c>
      <c r="E51" s="62">
        <f t="shared" si="7"/>
        <v>4.5666666666666664</v>
      </c>
      <c r="F51" s="4">
        <v>9.97316027678741E-2</v>
      </c>
      <c r="G51" s="63">
        <f t="shared" si="12"/>
        <v>128.86015161817144</v>
      </c>
      <c r="H51" s="4">
        <v>0</v>
      </c>
      <c r="I51">
        <f t="shared" si="10"/>
        <v>3.112303312716397</v>
      </c>
      <c r="J51">
        <f t="shared" si="11"/>
        <v>3.267500811554882</v>
      </c>
    </row>
    <row r="52" spans="1:10" x14ac:dyDescent="0.25">
      <c r="A52" s="1" t="s">
        <v>21</v>
      </c>
      <c r="B52" s="2">
        <v>48183</v>
      </c>
      <c r="C52" s="64">
        <f t="shared" si="6"/>
        <v>0</v>
      </c>
      <c r="D52" t="s">
        <v>157</v>
      </c>
      <c r="E52" s="62">
        <f t="shared" si="7"/>
        <v>5.1111111111111107</v>
      </c>
      <c r="F52" s="4">
        <v>0.100531843161383</v>
      </c>
      <c r="G52" s="63">
        <f t="shared" si="12"/>
        <v>107.61059335626376</v>
      </c>
      <c r="H52" s="4">
        <v>0</v>
      </c>
      <c r="I52">
        <f t="shared" si="10"/>
        <v>3.6641944235239539</v>
      </c>
      <c r="J52">
        <f t="shared" si="11"/>
        <v>3.8483785330732161</v>
      </c>
    </row>
    <row r="53" spans="1:10" x14ac:dyDescent="0.25">
      <c r="A53" s="1" t="s">
        <v>20</v>
      </c>
      <c r="B53" s="2">
        <v>48214</v>
      </c>
      <c r="C53" s="64">
        <f t="shared" si="6"/>
        <v>1985240.7764333719</v>
      </c>
      <c r="D53" t="s">
        <v>158</v>
      </c>
      <c r="E53" s="62">
        <f t="shared" si="7"/>
        <v>5.1944444444444446</v>
      </c>
      <c r="F53" s="4">
        <v>0.100688496123864</v>
      </c>
      <c r="G53" s="63">
        <f t="shared" si="12"/>
        <v>91.763000505175853</v>
      </c>
      <c r="H53" s="4">
        <v>5.7945852594594432E-3</v>
      </c>
      <c r="I53">
        <f t="shared" si="10"/>
        <v>3.9987516908184486</v>
      </c>
      <c r="J53">
        <f t="shared" si="11"/>
        <v>4.2000658378790829</v>
      </c>
    </row>
    <row r="54" spans="1:10" x14ac:dyDescent="0.25">
      <c r="A54" s="1" t="s">
        <v>19</v>
      </c>
      <c r="B54" s="2">
        <v>48396</v>
      </c>
      <c r="C54" s="64">
        <f t="shared" si="6"/>
        <v>0</v>
      </c>
      <c r="D54" t="s">
        <v>146</v>
      </c>
      <c r="E54" s="62">
        <f t="shared" si="7"/>
        <v>5.6944444444444446</v>
      </c>
      <c r="F54" s="4">
        <v>0.10180000428526099</v>
      </c>
      <c r="G54" s="63">
        <f t="shared" si="12"/>
        <v>133.12781312390067</v>
      </c>
      <c r="H54" s="4">
        <v>0</v>
      </c>
      <c r="I54">
        <f t="shared" si="10"/>
        <v>3.7102868914680638</v>
      </c>
      <c r="J54">
        <f t="shared" si="11"/>
        <v>3.8991405021935619</v>
      </c>
    </row>
    <row r="55" spans="1:10" x14ac:dyDescent="0.25">
      <c r="A55" s="1" t="s">
        <v>18</v>
      </c>
      <c r="B55" s="2">
        <v>48488</v>
      </c>
      <c r="C55" s="64">
        <f t="shared" si="6"/>
        <v>4600522.2274372699</v>
      </c>
      <c r="D55" t="s">
        <v>152</v>
      </c>
      <c r="E55" s="62">
        <f t="shared" si="7"/>
        <v>5.9444444444444446</v>
      </c>
      <c r="F55" s="4">
        <v>0.10244094414895399</v>
      </c>
      <c r="G55" s="63">
        <f t="shared" si="12"/>
        <v>94.550179765907089</v>
      </c>
      <c r="H55" s="4">
        <v>1.34281537037622E-2</v>
      </c>
      <c r="I55">
        <f t="shared" si="10"/>
        <v>4.4411780349401182</v>
      </c>
      <c r="J55">
        <f t="shared" si="11"/>
        <v>4.6686572704565492</v>
      </c>
    </row>
    <row r="56" spans="1:10" x14ac:dyDescent="0.25">
      <c r="A56" s="1" t="s">
        <v>17</v>
      </c>
      <c r="B56" s="2">
        <v>48563</v>
      </c>
      <c r="C56" s="64">
        <f t="shared" si="6"/>
        <v>3402270.9241264821</v>
      </c>
      <c r="D56" t="s">
        <v>143</v>
      </c>
      <c r="E56" s="62">
        <f t="shared" si="7"/>
        <v>6.15</v>
      </c>
      <c r="F56" s="4">
        <v>0.102996132006862</v>
      </c>
      <c r="G56" s="63">
        <f t="shared" si="12"/>
        <v>105.34011452109928</v>
      </c>
      <c r="H56" s="4">
        <v>9.9306588801030653E-3</v>
      </c>
      <c r="I56">
        <f t="shared" si="10"/>
        <v>4.234371759649747</v>
      </c>
      <c r="J56">
        <f t="shared" si="11"/>
        <v>4.4524337160112539</v>
      </c>
    </row>
    <row r="57" spans="1:10" x14ac:dyDescent="0.25">
      <c r="A57" s="1" t="s">
        <v>16</v>
      </c>
      <c r="B57" s="2">
        <v>48594</v>
      </c>
      <c r="C57" s="64">
        <f t="shared" si="6"/>
        <v>4123336.8933639075</v>
      </c>
      <c r="D57" t="s">
        <v>159</v>
      </c>
      <c r="E57" s="62">
        <f t="shared" si="7"/>
        <v>6.2333333333333334</v>
      </c>
      <c r="F57" s="4">
        <v>0.103226445764032</v>
      </c>
      <c r="G57" s="63">
        <f t="shared" si="12"/>
        <v>103.92589503629893</v>
      </c>
      <c r="H57" s="4">
        <v>1.2035329651548531E-2</v>
      </c>
      <c r="I57">
        <f t="shared" si="10"/>
        <v>4.3333386674837016</v>
      </c>
      <c r="J57">
        <f t="shared" si="11"/>
        <v>4.5569962419517962</v>
      </c>
    </row>
    <row r="58" spans="1:10" x14ac:dyDescent="0.25">
      <c r="A58" s="1" t="s">
        <v>15</v>
      </c>
      <c r="B58" s="2">
        <v>48731</v>
      </c>
      <c r="C58" s="64">
        <f t="shared" si="6"/>
        <v>5752799.9097063066</v>
      </c>
      <c r="D58" t="s">
        <v>152</v>
      </c>
      <c r="E58" s="62">
        <f t="shared" si="7"/>
        <v>6.6111111111111107</v>
      </c>
      <c r="F58" s="4">
        <v>0.104290991963039</v>
      </c>
      <c r="G58" s="63">
        <f t="shared" si="12"/>
        <v>93.273581803012192</v>
      </c>
      <c r="H58" s="4">
        <v>1.6791459229087903E-2</v>
      </c>
      <c r="I58">
        <f t="shared" si="10"/>
        <v>4.6414194401416138</v>
      </c>
      <c r="J58">
        <f t="shared" si="11"/>
        <v>4.883448558906065</v>
      </c>
    </row>
    <row r="59" spans="1:10" x14ac:dyDescent="0.25">
      <c r="A59" s="1" t="s">
        <v>14</v>
      </c>
      <c r="B59" s="2">
        <v>48761</v>
      </c>
      <c r="C59" s="64">
        <f t="shared" si="6"/>
        <v>4705506.2380019585</v>
      </c>
      <c r="D59" t="s">
        <v>160</v>
      </c>
      <c r="E59" s="62">
        <f t="shared" si="7"/>
        <v>6.6944444444444446</v>
      </c>
      <c r="F59" s="4">
        <v>0.104527189859319</v>
      </c>
      <c r="G59" s="63">
        <f t="shared" si="12"/>
        <v>113.19311284923404</v>
      </c>
      <c r="H59" s="4">
        <v>1.3734584443710026E-2</v>
      </c>
      <c r="I59">
        <f t="shared" si="10"/>
        <v>4.3845264423019072</v>
      </c>
      <c r="J59">
        <f t="shared" si="11"/>
        <v>4.6136775562407548</v>
      </c>
    </row>
    <row r="60" spans="1:10" x14ac:dyDescent="0.25">
      <c r="A60" s="1" t="s">
        <v>13</v>
      </c>
      <c r="B60" s="2">
        <v>48884</v>
      </c>
      <c r="C60" s="64">
        <f t="shared" si="6"/>
        <v>6620854.3857154129</v>
      </c>
      <c r="D60" t="s">
        <v>152</v>
      </c>
      <c r="E60" s="62">
        <f t="shared" si="7"/>
        <v>7.0277777777777777</v>
      </c>
      <c r="F60" s="4">
        <v>0.105460372218454</v>
      </c>
      <c r="G60" s="63">
        <f t="shared" si="12"/>
        <v>92.451554966432511</v>
      </c>
      <c r="H60" s="4">
        <v>1.9325164828328589E-2</v>
      </c>
      <c r="I60">
        <f t="shared" si="10"/>
        <v>4.7981824816677703</v>
      </c>
      <c r="J60">
        <f t="shared" si="11"/>
        <v>5.0511915369121452</v>
      </c>
    </row>
    <row r="61" spans="1:10" x14ac:dyDescent="0.25">
      <c r="A61" s="1" t="s">
        <v>12</v>
      </c>
      <c r="B61" s="2">
        <v>48945</v>
      </c>
      <c r="C61" s="64">
        <f t="shared" si="6"/>
        <v>6507974.5933851497</v>
      </c>
      <c r="D61" t="s">
        <v>160</v>
      </c>
      <c r="E61" s="62">
        <f t="shared" si="7"/>
        <v>7.1944444444444446</v>
      </c>
      <c r="F61" s="4">
        <v>0.10591269930838799</v>
      </c>
      <c r="G61" s="63">
        <f t="shared" si="12"/>
        <v>113.11654159277549</v>
      </c>
      <c r="H61" s="4">
        <v>1.899568762410608E-2</v>
      </c>
      <c r="I61">
        <f t="shared" si="10"/>
        <v>4.5910929499503013</v>
      </c>
      <c r="J61">
        <f t="shared" si="11"/>
        <v>4.834220473502775</v>
      </c>
    </row>
    <row r="62" spans="1:10" x14ac:dyDescent="0.25">
      <c r="A62" s="1" t="s">
        <v>11</v>
      </c>
      <c r="B62" s="2">
        <v>49110</v>
      </c>
      <c r="C62" s="64">
        <f t="shared" si="6"/>
        <v>8281548.8430938544</v>
      </c>
      <c r="D62" t="s">
        <v>151</v>
      </c>
      <c r="E62" s="62">
        <f t="shared" si="7"/>
        <v>7.65</v>
      </c>
      <c r="F62" s="4">
        <v>0.107059873801414</v>
      </c>
      <c r="G62" s="63">
        <f t="shared" si="12"/>
        <v>100.19642675899985</v>
      </c>
      <c r="H62" s="4">
        <v>2.4172453750370373E-2</v>
      </c>
      <c r="I62">
        <f t="shared" si="10"/>
        <v>4.9491984886423523</v>
      </c>
      <c r="J62">
        <f t="shared" si="11"/>
        <v>5.2141287714484514</v>
      </c>
    </row>
    <row r="63" spans="1:10" x14ac:dyDescent="0.25">
      <c r="A63" s="1" t="s">
        <v>10</v>
      </c>
      <c r="B63" s="2">
        <v>49202</v>
      </c>
      <c r="C63" s="64">
        <f t="shared" si="6"/>
        <v>9787730.6580424104</v>
      </c>
      <c r="D63" t="s">
        <v>161</v>
      </c>
      <c r="E63" s="62">
        <f t="shared" si="7"/>
        <v>7.9</v>
      </c>
      <c r="F63" s="4">
        <v>0.10761082282390801</v>
      </c>
      <c r="G63" s="63">
        <f t="shared" si="12"/>
        <v>97.304247411232268</v>
      </c>
      <c r="H63" s="4">
        <v>2.8568746153071627E-2</v>
      </c>
      <c r="I63">
        <f t="shared" si="10"/>
        <v>5.2295620238520026</v>
      </c>
      <c r="J63">
        <f t="shared" si="11"/>
        <v>5.5109407600496905</v>
      </c>
    </row>
    <row r="64" spans="1:10" x14ac:dyDescent="0.25">
      <c r="A64" s="1" t="s">
        <v>9</v>
      </c>
      <c r="B64" s="2">
        <v>49383</v>
      </c>
      <c r="C64" s="64">
        <f t="shared" si="6"/>
        <v>11223042.543329261</v>
      </c>
      <c r="D64" t="s">
        <v>143</v>
      </c>
      <c r="E64" s="62">
        <f t="shared" si="7"/>
        <v>8.4</v>
      </c>
      <c r="F64" s="4">
        <v>0.10849313250206701</v>
      </c>
      <c r="G64" s="63">
        <f t="shared" si="12"/>
        <v>103.50445432238941</v>
      </c>
      <c r="H64" s="4">
        <v>3.2758181103200085E-2</v>
      </c>
      <c r="I64">
        <f t="shared" si="10"/>
        <v>5.3067512776349179</v>
      </c>
      <c r="J64">
        <f t="shared" si="11"/>
        <v>5.5946243123948971</v>
      </c>
    </row>
    <row r="65" spans="1:10" x14ac:dyDescent="0.25">
      <c r="A65" s="1" t="s">
        <v>8</v>
      </c>
      <c r="B65" s="2">
        <v>49475</v>
      </c>
      <c r="C65" s="64">
        <f t="shared" si="6"/>
        <v>10734608.673789011</v>
      </c>
      <c r="D65" t="s">
        <v>162</v>
      </c>
      <c r="E65" s="62">
        <f t="shared" si="7"/>
        <v>8.65</v>
      </c>
      <c r="F65" s="4">
        <v>0.108831591619434</v>
      </c>
      <c r="G65" s="63">
        <f t="shared" si="12"/>
        <v>98.960047871953961</v>
      </c>
      <c r="H65" s="4">
        <v>3.1332524460309923E-2</v>
      </c>
      <c r="I65">
        <f t="shared" si="10"/>
        <v>5.3355233986158384</v>
      </c>
      <c r="J65">
        <f t="shared" si="11"/>
        <v>5.6258601504128842</v>
      </c>
    </row>
    <row r="66" spans="1:10" x14ac:dyDescent="0.25">
      <c r="A66" s="1" t="s">
        <v>7</v>
      </c>
      <c r="B66" s="2">
        <v>49902</v>
      </c>
      <c r="C66" s="64">
        <f t="shared" si="6"/>
        <v>14016294.744867474</v>
      </c>
      <c r="D66" t="s">
        <v>163</v>
      </c>
      <c r="E66" s="62">
        <f t="shared" si="7"/>
        <v>9.8166666666666664</v>
      </c>
      <c r="F66" s="4">
        <v>0.10979071637453799</v>
      </c>
      <c r="G66" s="63">
        <f t="shared" si="12"/>
        <v>99.202554494345847</v>
      </c>
      <c r="H66" s="4">
        <v>4.0911216354704849E-2</v>
      </c>
      <c r="I66">
        <f t="shared" si="10"/>
        <v>5.8220283185292763</v>
      </c>
      <c r="J66">
        <f t="shared" si="11"/>
        <v>6.1416306484513647</v>
      </c>
    </row>
    <row r="67" spans="1:10" x14ac:dyDescent="0.25">
      <c r="A67" s="1" t="s">
        <v>6</v>
      </c>
      <c r="B67" s="2">
        <v>50222</v>
      </c>
      <c r="C67" s="64">
        <f t="shared" si="6"/>
        <v>15180122.478744278</v>
      </c>
      <c r="D67" t="s">
        <v>151</v>
      </c>
      <c r="E67" s="62">
        <f t="shared" si="7"/>
        <v>10.694444444444445</v>
      </c>
      <c r="F67" s="4">
        <v>0.110183508677714</v>
      </c>
      <c r="G67" s="63">
        <f t="shared" si="12"/>
        <v>98.303470067837267</v>
      </c>
      <c r="H67" s="4">
        <v>4.4308234545812383E-2</v>
      </c>
      <c r="I67">
        <f t="shared" si="10"/>
        <v>6.0295060474906306</v>
      </c>
      <c r="J67">
        <f t="shared" si="11"/>
        <v>6.3616821134436368</v>
      </c>
    </row>
    <row r="68" spans="1:10" x14ac:dyDescent="0.25">
      <c r="A68" s="1" t="s">
        <v>5</v>
      </c>
      <c r="B68" s="2">
        <v>50997</v>
      </c>
      <c r="C68" s="64">
        <f t="shared" si="6"/>
        <v>18866822.584202256</v>
      </c>
      <c r="D68" t="s">
        <v>164</v>
      </c>
      <c r="E68" s="62">
        <f t="shared" si="7"/>
        <v>12.816666666666666</v>
      </c>
      <c r="F68" s="4">
        <v>0.11075090532596001</v>
      </c>
      <c r="G68" s="63">
        <f t="shared" si="12"/>
        <v>96.078833989659998</v>
      </c>
      <c r="H68" s="4">
        <v>5.5069094558729492E-2</v>
      </c>
      <c r="I68">
        <f t="shared" si="10"/>
        <v>6.7064490998476511</v>
      </c>
      <c r="J68">
        <f t="shared" si="11"/>
        <v>7.0778217545129491</v>
      </c>
    </row>
    <row r="69" spans="1:10" x14ac:dyDescent="0.25">
      <c r="A69" s="1" t="s">
        <v>4</v>
      </c>
      <c r="B69" s="2">
        <v>51502</v>
      </c>
      <c r="C69" s="64">
        <f t="shared" si="6"/>
        <v>22576846.698691286</v>
      </c>
      <c r="D69" t="s">
        <v>157</v>
      </c>
      <c r="E69" s="62">
        <f t="shared" si="7"/>
        <v>14.194444444444445</v>
      </c>
      <c r="F69" s="4">
        <v>0.11103774041797899</v>
      </c>
      <c r="G69" s="63">
        <f t="shared" si="12"/>
        <v>106.29201065539199</v>
      </c>
      <c r="H69" s="4">
        <v>6.589803344677711E-2</v>
      </c>
      <c r="I69">
        <f t="shared" si="10"/>
        <v>6.7335607342454864</v>
      </c>
      <c r="J69">
        <f t="shared" si="11"/>
        <v>7.10740041869441</v>
      </c>
    </row>
    <row r="70" spans="1:10" x14ac:dyDescent="0.25">
      <c r="A70" s="1" t="s">
        <v>3</v>
      </c>
      <c r="B70" s="2">
        <v>52383</v>
      </c>
      <c r="C70" s="64">
        <f t="shared" si="6"/>
        <v>18674271.543746687</v>
      </c>
      <c r="D70" t="s">
        <v>152</v>
      </c>
      <c r="E70" s="62">
        <f t="shared" si="7"/>
        <v>16.611111111111111</v>
      </c>
      <c r="F70" s="4">
        <v>0.111861820011565</v>
      </c>
      <c r="G70" s="63">
        <f t="shared" si="12"/>
        <v>83.639343932789799</v>
      </c>
      <c r="H70" s="4">
        <v>5.4507070327733213E-2</v>
      </c>
      <c r="I70">
        <f t="shared" si="10"/>
        <v>7.4820487678633265</v>
      </c>
      <c r="J70">
        <f t="shared" si="11"/>
        <v>7.9005265641575662</v>
      </c>
    </row>
    <row r="71" spans="1:10" x14ac:dyDescent="0.25">
      <c r="A71" s="75" t="s">
        <v>2</v>
      </c>
      <c r="B71" s="76">
        <v>52597</v>
      </c>
      <c r="C71" s="64">
        <f t="shared" si="6"/>
        <v>116293009.00393748</v>
      </c>
      <c r="D71" t="s">
        <v>165</v>
      </c>
      <c r="E71" s="62">
        <f t="shared" si="7"/>
        <v>17.194444444444443</v>
      </c>
      <c r="F71" s="4">
        <v>0.11213555307850701</v>
      </c>
      <c r="G71" s="63">
        <f t="shared" si="12"/>
        <v>117.22268268717735</v>
      </c>
      <c r="H71" s="4">
        <v>0.33943981191191125</v>
      </c>
      <c r="I71">
        <f t="shared" si="10"/>
        <v>7.0771306263024094</v>
      </c>
      <c r="J71">
        <f t="shared" si="11"/>
        <v>7.47392960479704</v>
      </c>
    </row>
    <row r="72" spans="1:10" x14ac:dyDescent="0.25">
      <c r="A72" s="75" t="s">
        <v>1</v>
      </c>
      <c r="B72" s="76">
        <v>52749</v>
      </c>
      <c r="C72" s="64">
        <f t="shared" si="6"/>
        <v>29771858.766205132</v>
      </c>
      <c r="D72" t="s">
        <v>165</v>
      </c>
      <c r="E72" s="62">
        <f t="shared" si="7"/>
        <v>17.611111111111111</v>
      </c>
      <c r="F72" s="4">
        <v>0.112344107506525</v>
      </c>
      <c r="G72" s="63">
        <f t="shared" si="12"/>
        <v>117.19258110509372</v>
      </c>
      <c r="H72" s="4">
        <v>8.6899068365549753E-2</v>
      </c>
      <c r="I72">
        <f t="shared" si="10"/>
        <v>7.0638381005921191</v>
      </c>
      <c r="J72">
        <f t="shared" si="11"/>
        <v>7.4606283940829226</v>
      </c>
    </row>
    <row r="73" spans="1:10" x14ac:dyDescent="0.25">
      <c r="A73" s="75" t="s">
        <v>0</v>
      </c>
      <c r="B73" s="76">
        <v>53022</v>
      </c>
      <c r="C73" s="64">
        <f t="shared" si="6"/>
        <v>29498089.818423942</v>
      </c>
      <c r="D73" t="s">
        <v>166</v>
      </c>
      <c r="E73" s="62">
        <f t="shared" si="7"/>
        <v>18.361111111111111</v>
      </c>
      <c r="F73" s="4">
        <v>0.112741290965022</v>
      </c>
      <c r="G73" s="63">
        <f t="shared" si="12"/>
        <v>109.3879560755195</v>
      </c>
      <c r="H73" s="4">
        <v>8.6099982668669875E-2</v>
      </c>
      <c r="I73">
        <f t="shared" si="10"/>
        <v>7.444963040349756</v>
      </c>
      <c r="J73">
        <f t="shared" si="11"/>
        <v>7.8646404125277094</v>
      </c>
    </row>
    <row r="74" spans="1:10" x14ac:dyDescent="0.25">
      <c r="C74" s="67">
        <f>SUM(C23:C73)</f>
        <v>342602752.3052429</v>
      </c>
      <c r="G74" s="67">
        <f>SUM(G23:G73)</f>
        <v>5318.2668960419687</v>
      </c>
      <c r="H74" s="72">
        <f>SUM(H23:H73)</f>
        <v>1.0000000412669459</v>
      </c>
      <c r="I74" s="66">
        <f>SUMPRODUCT(H23:H73,I23:I73)</f>
        <v>6.4884810211659092</v>
      </c>
      <c r="J74" s="66">
        <f>SUMPRODUCT(H23:H73,J23:J73)</f>
        <v>6.8482426390915601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Yieldcurve</vt:lpstr>
      <vt:lpstr>liability</vt:lpstr>
      <vt:lpstr>Convexity</vt:lpstr>
      <vt:lpstr>Dur and Con</vt:lpstr>
      <vt:lpstr>Market shift</vt:lpstr>
      <vt:lpstr>Sensitive analysis</vt:lpstr>
      <vt:lpstr>rebalance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Jayodya Chathumini</dc:creator>
  <cp:lastModifiedBy>Jayodya Chathumini</cp:lastModifiedBy>
  <dcterms:created xsi:type="dcterms:W3CDTF">2026-05-09T05:35:06Z</dcterms:created>
  <dcterms:modified xsi:type="dcterms:W3CDTF">2026-06-07T18:53:49Z</dcterms:modified>
</cp:coreProperties>
</file>